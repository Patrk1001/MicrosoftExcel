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026" codeName="{4AEB4F63-F33D-04DF-ECAF-5796C6CBFC7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atrick\Desktop\UMSL\Fall 2017\3Info Sys Concept &amp; Appl(blackboard)\Case 4\"/>
    </mc:Choice>
  </mc:AlternateContent>
  <xr:revisionPtr revIDLastSave="0" documentId="13_ncr:1_{621934E1-1A18-4A95-BE70-D542DDF7C72A}" xr6:coauthVersionLast="45" xr6:coauthVersionMax="45" xr10:uidLastSave="{00000000-0000-0000-0000-000000000000}"/>
  <bookViews>
    <workbookView xWindow="-108" yWindow="-108" windowWidth="23256" windowHeight="12576" activeTab="1" xr2:uid="{00000000-000D-0000-FFFF-FFFF00000000}"/>
  </bookViews>
  <sheets>
    <sheet name="Lookup Table" sheetId="2" r:id="rId1"/>
    <sheet name="Expense" sheetId="1" r:id="rId2"/>
    <sheet name="Expenses by Division" sheetId="3" r:id="rId3"/>
    <sheet name="Total Expenses Sales Position" sheetId="5" r:id="rId4"/>
    <sheet name="Meal Phone Gas Expense" sheetId="8" r:id="rId5"/>
    <sheet name="Managers 1700 Supervisor 750" sheetId="9" r:id="rId6"/>
    <sheet name="No Expense Claim Form" sheetId="10" r:id="rId7"/>
    <sheet name="Position and Hotel Airfare" sheetId="11" r:id="rId8"/>
    <sheet name="Manager Travel Airplane" sheetId="12" r:id="rId9"/>
    <sheet name="Sales Positions by Division" sheetId="13" r:id="rId10"/>
    <sheet name="Divison Expense" sheetId="14" r:id="rId11"/>
    <sheet name="S1 Reps with Hotel Airfare" sheetId="15" r:id="rId12"/>
    <sheet name="Over Mileage Limit" sheetId="16" r:id="rId13"/>
    <sheet name="Employee Expense by Division" sheetId="17" r:id="rId14"/>
    <sheet name="Employee Expense by Divison" sheetId="18" r:id="rId15"/>
    <sheet name="Employee Mileage by Division" sheetId="22" r:id="rId16"/>
    <sheet name="Employee Mileage Division 1" sheetId="23" r:id="rId17"/>
  </sheets>
  <definedNames>
    <definedName name="Expense">Expense!$A$7:$P$30</definedName>
  </definedNames>
  <calcPr calcId="191029"/>
  <pivotCaches>
    <pivotCache cacheId="0" r:id="rId18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35" i="1" l="1"/>
  <c r="I35" i="1"/>
  <c r="J35" i="1"/>
  <c r="K35" i="1"/>
  <c r="L35" i="1"/>
  <c r="M35" i="1"/>
  <c r="H34" i="1"/>
  <c r="I34" i="1"/>
  <c r="J34" i="1"/>
  <c r="K34" i="1"/>
  <c r="L34" i="1"/>
  <c r="M34" i="1"/>
  <c r="H33" i="1"/>
  <c r="I33" i="1"/>
  <c r="J33" i="1"/>
  <c r="K33" i="1"/>
  <c r="L33" i="1"/>
  <c r="M33" i="1"/>
  <c r="I32" i="1"/>
  <c r="J32" i="1"/>
  <c r="K32" i="1"/>
  <c r="L32" i="1"/>
  <c r="M32" i="1"/>
  <c r="H32" i="1"/>
  <c r="G9" i="1"/>
  <c r="O9" i="1" s="1"/>
  <c r="P9" i="1" s="1"/>
  <c r="G10" i="1"/>
  <c r="O10" i="1" s="1"/>
  <c r="P10" i="1" s="1"/>
  <c r="G11" i="1"/>
  <c r="O11" i="1" s="1"/>
  <c r="P11" i="1" s="1"/>
  <c r="G12" i="1"/>
  <c r="G13" i="1"/>
  <c r="O13" i="1" s="1"/>
  <c r="P13" i="1" s="1"/>
  <c r="G14" i="1"/>
  <c r="O14" i="1" s="1"/>
  <c r="P14" i="1" s="1"/>
  <c r="G15" i="1"/>
  <c r="O15" i="1" s="1"/>
  <c r="P15" i="1" s="1"/>
  <c r="G16" i="1"/>
  <c r="O16" i="1" s="1"/>
  <c r="P16" i="1" s="1"/>
  <c r="G17" i="1"/>
  <c r="O17" i="1" s="1"/>
  <c r="P17" i="1" s="1"/>
  <c r="G18" i="1"/>
  <c r="O18" i="1" s="1"/>
  <c r="P18" i="1" s="1"/>
  <c r="G19" i="1"/>
  <c r="O19" i="1" s="1"/>
  <c r="P19" i="1" s="1"/>
  <c r="G20" i="1"/>
  <c r="O20" i="1" s="1"/>
  <c r="P20" i="1" s="1"/>
  <c r="G21" i="1"/>
  <c r="O21" i="1" s="1"/>
  <c r="P21" i="1" s="1"/>
  <c r="G22" i="1"/>
  <c r="O22" i="1" s="1"/>
  <c r="P22" i="1" s="1"/>
  <c r="G23" i="1"/>
  <c r="O23" i="1" s="1"/>
  <c r="P23" i="1" s="1"/>
  <c r="G24" i="1"/>
  <c r="O24" i="1" s="1"/>
  <c r="P24" i="1" s="1"/>
  <c r="G25" i="1"/>
  <c r="O25" i="1" s="1"/>
  <c r="P25" i="1" s="1"/>
  <c r="G26" i="1"/>
  <c r="O26" i="1" s="1"/>
  <c r="P26" i="1" s="1"/>
  <c r="G27" i="1"/>
  <c r="O27" i="1" s="1"/>
  <c r="P27" i="1" s="1"/>
  <c r="G28" i="1"/>
  <c r="O28" i="1" s="1"/>
  <c r="P28" i="1" s="1"/>
  <c r="G29" i="1"/>
  <c r="O29" i="1" s="1"/>
  <c r="P29" i="1" s="1"/>
  <c r="G30" i="1"/>
  <c r="O30" i="1" s="1"/>
  <c r="P30" i="1" s="1"/>
  <c r="G8" i="1"/>
  <c r="O8" i="1" s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9" i="1"/>
  <c r="N8" i="1"/>
  <c r="N32" i="1" s="1"/>
  <c r="G32" i="1" l="1"/>
  <c r="O12" i="1"/>
  <c r="P12" i="1" s="1"/>
  <c r="G35" i="1"/>
  <c r="O35" i="1"/>
  <c r="O33" i="1"/>
  <c r="O32" i="1"/>
  <c r="O34" i="1"/>
  <c r="P8" i="1"/>
  <c r="G34" i="1"/>
  <c r="G33" i="1"/>
  <c r="N33" i="1"/>
  <c r="N34" i="1"/>
  <c r="N35" i="1"/>
  <c r="P35" i="1" l="1"/>
  <c r="P33" i="1"/>
  <c r="P32" i="1"/>
  <c r="P34" i="1"/>
</calcChain>
</file>

<file path=xl/sharedStrings.xml><?xml version="1.0" encoding="utf-8"?>
<sst xmlns="http://schemas.openxmlformats.org/spreadsheetml/2006/main" count="364" uniqueCount="129">
  <si>
    <t>Last Name</t>
  </si>
  <si>
    <t>First Name</t>
  </si>
  <si>
    <t>Division</t>
  </si>
  <si>
    <t>Position</t>
  </si>
  <si>
    <t>Beginning Mileage</t>
  </si>
  <si>
    <t>Ending Mileage</t>
  </si>
  <si>
    <t>Meals</t>
  </si>
  <si>
    <t>Phone</t>
  </si>
  <si>
    <t>Gas</t>
  </si>
  <si>
    <t>Hotel</t>
  </si>
  <si>
    <t>Miscellaneous</t>
  </si>
  <si>
    <t>Airfare</t>
  </si>
  <si>
    <t>Aguayo</t>
  </si>
  <si>
    <t>Alfredo</t>
  </si>
  <si>
    <t>MN</t>
  </si>
  <si>
    <t>Barnes</t>
  </si>
  <si>
    <t>Art</t>
  </si>
  <si>
    <t>SU</t>
  </si>
  <si>
    <t>Blatt</t>
  </si>
  <si>
    <t>Renae</t>
  </si>
  <si>
    <t>S1</t>
  </si>
  <si>
    <t>Brown</t>
  </si>
  <si>
    <t>Clyde</t>
  </si>
  <si>
    <t>Caldwell</t>
  </si>
  <si>
    <t>Chad</t>
  </si>
  <si>
    <t>Chidester</t>
  </si>
  <si>
    <t>Stuart</t>
  </si>
  <si>
    <t>S2</t>
  </si>
  <si>
    <t>Cruce</t>
  </si>
  <si>
    <t>Cindy</t>
  </si>
  <si>
    <t>Dixon</t>
  </si>
  <si>
    <t>Gwen</t>
  </si>
  <si>
    <t>Friot</t>
  </si>
  <si>
    <t>Teresa</t>
  </si>
  <si>
    <t>Gatchell</t>
  </si>
  <si>
    <t>Todd</t>
  </si>
  <si>
    <t>Hopkins</t>
  </si>
  <si>
    <t>Bill</t>
  </si>
  <si>
    <t>Jacober</t>
  </si>
  <si>
    <t>Rick</t>
  </si>
  <si>
    <t>Kinyon</t>
  </si>
  <si>
    <t>Kirby</t>
  </si>
  <si>
    <t>Knauf</t>
  </si>
  <si>
    <t>Ronald</t>
  </si>
  <si>
    <t>Knott</t>
  </si>
  <si>
    <t>Cathy</t>
  </si>
  <si>
    <t>Leminsky</t>
  </si>
  <si>
    <t>Marsha</t>
  </si>
  <si>
    <t>Nussbaum</t>
  </si>
  <si>
    <t>Oleg</t>
  </si>
  <si>
    <t>Nyu</t>
  </si>
  <si>
    <t>Kwame</t>
  </si>
  <si>
    <t>Pixley</t>
  </si>
  <si>
    <t>Kevin</t>
  </si>
  <si>
    <t>Pizana</t>
  </si>
  <si>
    <t>Patricia</t>
  </si>
  <si>
    <t>Repetto</t>
  </si>
  <si>
    <t>Eduardo</t>
  </si>
  <si>
    <t>Vorse</t>
  </si>
  <si>
    <t>Barry</t>
  </si>
  <si>
    <t>Zorio</t>
  </si>
  <si>
    <t>Sherol</t>
  </si>
  <si>
    <t>Allowable Miles</t>
  </si>
  <si>
    <t>Rate</t>
  </si>
  <si>
    <r>
      <t xml:space="preserve">            </t>
    </r>
    <r>
      <rPr>
        <sz val="16"/>
        <color theme="1"/>
        <rFont val="Calibri"/>
        <family val="2"/>
        <scheme val="minor"/>
      </rPr>
      <t xml:space="preserve"> Mileage Lookup Table</t>
    </r>
  </si>
  <si>
    <t>Minumum</t>
  </si>
  <si>
    <t>Maximum</t>
  </si>
  <si>
    <t>Average</t>
  </si>
  <si>
    <t>Total</t>
  </si>
  <si>
    <t>Total Expenses</t>
  </si>
  <si>
    <t>Overage</t>
  </si>
  <si>
    <t>Overage Charge</t>
  </si>
  <si>
    <t>November 9-15, 2008</t>
  </si>
  <si>
    <t>Expense Summary Report</t>
  </si>
  <si>
    <t>Edmund Grant Pharmaceutical Company</t>
  </si>
  <si>
    <t>Actual Mileage</t>
  </si>
  <si>
    <t>Grand Total</t>
  </si>
  <si>
    <t xml:space="preserve">Meals </t>
  </si>
  <si>
    <t xml:space="preserve">Total Expenses </t>
  </si>
  <si>
    <t xml:space="preserve">Airfare </t>
  </si>
  <si>
    <t xml:space="preserve">Miscellaneous </t>
  </si>
  <si>
    <t xml:space="preserve">Phone </t>
  </si>
  <si>
    <t xml:space="preserve">Gas </t>
  </si>
  <si>
    <t xml:space="preserve">Hotel </t>
  </si>
  <si>
    <t>Expenses by Division</t>
  </si>
  <si>
    <t>Edmund Grant Pharmaceutical</t>
  </si>
  <si>
    <t>Company</t>
  </si>
  <si>
    <t>Total Expenses by Sales Position</t>
  </si>
  <si>
    <t>Division Number</t>
  </si>
  <si>
    <t>Meals Expense</t>
  </si>
  <si>
    <t>Phone Expense</t>
  </si>
  <si>
    <t>Gas Expense</t>
  </si>
  <si>
    <t>1 Total</t>
  </si>
  <si>
    <t>2 Total</t>
  </si>
  <si>
    <t>3 Total</t>
  </si>
  <si>
    <t>4 Total</t>
  </si>
  <si>
    <t>5 Total</t>
  </si>
  <si>
    <t>Values</t>
  </si>
  <si>
    <t>by Division and Position</t>
  </si>
  <si>
    <t>Meals, Phone, Gas Expense</t>
  </si>
  <si>
    <t>Supervisors with more than $750 in Airfare</t>
  </si>
  <si>
    <t>Managers with more than $1700 in Airfare</t>
  </si>
  <si>
    <t xml:space="preserve">Overage </t>
  </si>
  <si>
    <t xml:space="preserve">Overage Charge </t>
  </si>
  <si>
    <t>No Expense Claim Form</t>
  </si>
  <si>
    <t>Count of Position</t>
  </si>
  <si>
    <t>Sum of Total Expenses</t>
  </si>
  <si>
    <t>Name</t>
  </si>
  <si>
    <t xml:space="preserve">Division  </t>
  </si>
  <si>
    <t xml:space="preserve">Airfare  </t>
  </si>
  <si>
    <t>Miles over limit</t>
  </si>
  <si>
    <t>Hotel Expense</t>
  </si>
  <si>
    <t>Airfare Expense</t>
  </si>
  <si>
    <t>Hotel and Airfare by Position</t>
  </si>
  <si>
    <t>Managers who traveled via Airplane</t>
  </si>
  <si>
    <t>Sales by Positions by Division</t>
  </si>
  <si>
    <t>Edmund Grant Phramaceutical Company</t>
  </si>
  <si>
    <t>Division Expense</t>
  </si>
  <si>
    <t xml:space="preserve">  Lowest</t>
  </si>
  <si>
    <t>S1 Reps with Hotel and Airfare</t>
  </si>
  <si>
    <t>Over Mileage Limit</t>
  </si>
  <si>
    <t>Employee Expense by Division</t>
  </si>
  <si>
    <t>Total Actual Mileage</t>
  </si>
  <si>
    <t>Employee Mileage by Division</t>
  </si>
  <si>
    <t xml:space="preserve">Actual Mileage </t>
  </si>
  <si>
    <t>Employee</t>
  </si>
  <si>
    <t>Employee Mileage - Division 1</t>
  </si>
  <si>
    <t xml:space="preserve">Meals Expense </t>
  </si>
  <si>
    <t>Misc Expense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</si>
</sst>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164" formatCode="&quot;$&quot;#,##0.00"/>
    <numFmt numFmtId="165" formatCode="0.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43">
    <xf numFmtId="0" fontId="0" fillId="0" borderId="0" xfId="0"/>
    <xf numFmtId="44" fontId="0" fillId="0" borderId="0" xfId="1" applyFont="1"/>
    <xf numFmtId="0" fontId="0" fillId="0" borderId="0" xfId="0" applyAlignment="1">
      <alignment horizontal="center"/>
    </xf>
    <xf numFmtId="0" fontId="2" fillId="0" borderId="0" xfId="0" applyFont="1"/>
    <xf numFmtId="2" fontId="0" fillId="0" borderId="0" xfId="0" applyNumberFormat="1" applyAlignment="1">
      <alignment horizontal="center"/>
    </xf>
    <xf numFmtId="0" fontId="2" fillId="2" borderId="0" xfId="0" applyFont="1" applyFill="1" applyAlignment="1">
      <alignment horizontal="left"/>
    </xf>
    <xf numFmtId="0" fontId="0" fillId="2" borderId="0" xfId="0" applyFill="1" applyAlignment="1">
      <alignment horizontal="left"/>
    </xf>
    <xf numFmtId="0" fontId="4" fillId="3" borderId="0" xfId="0" applyFont="1" applyFill="1"/>
    <xf numFmtId="164" fontId="0" fillId="0" borderId="0" xfId="0" applyNumberFormat="1"/>
    <xf numFmtId="0" fontId="0" fillId="2" borderId="0" xfId="0" applyFill="1"/>
    <xf numFmtId="0" fontId="0" fillId="2" borderId="1" xfId="0" applyFill="1" applyBorder="1"/>
    <xf numFmtId="44" fontId="0" fillId="0" borderId="0" xfId="0" applyNumberFormat="1"/>
    <xf numFmtId="165" fontId="0" fillId="0" borderId="0" xfId="0" applyNumberFormat="1"/>
    <xf numFmtId="2" fontId="0" fillId="0" borderId="0" xfId="0" applyNumberFormat="1"/>
    <xf numFmtId="2" fontId="0" fillId="0" borderId="0" xfId="1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0" fillId="5" borderId="0" xfId="0" applyFill="1"/>
    <xf numFmtId="0" fontId="4" fillId="0" borderId="0" xfId="0" applyFont="1" applyAlignment="1"/>
    <xf numFmtId="0" fontId="0" fillId="0" borderId="0" xfId="0" applyAlignment="1">
      <alignment horizontal="left" indent="1"/>
    </xf>
    <xf numFmtId="0" fontId="6" fillId="6" borderId="0" xfId="0" applyFont="1" applyFill="1"/>
    <xf numFmtId="0" fontId="0" fillId="0" borderId="0" xfId="0" applyNumberFormat="1"/>
    <xf numFmtId="0" fontId="0" fillId="8" borderId="0" xfId="0" applyFill="1" applyAlignment="1">
      <alignment horizontal="left"/>
    </xf>
    <xf numFmtId="0" fontId="7" fillId="7" borderId="0" xfId="0" applyFont="1" applyFill="1"/>
    <xf numFmtId="0" fontId="0" fillId="3" borderId="0" xfId="0" applyFont="1" applyFill="1"/>
    <xf numFmtId="0" fontId="0" fillId="3" borderId="0" xfId="0" applyFont="1" applyFill="1" applyAlignment="1">
      <alignment horizontal="center"/>
    </xf>
    <xf numFmtId="0" fontId="0" fillId="8" borderId="0" xfId="0" applyFill="1"/>
    <xf numFmtId="0" fontId="0" fillId="9" borderId="0" xfId="0" applyFill="1" applyAlignment="1">
      <alignment horizontal="left"/>
    </xf>
    <xf numFmtId="44" fontId="0" fillId="9" borderId="0" xfId="0" applyNumberFormat="1" applyFill="1"/>
    <xf numFmtId="0" fontId="0" fillId="3" borderId="0" xfId="0" applyFill="1"/>
    <xf numFmtId="0" fontId="0" fillId="0" borderId="0" xfId="0" applyNumberFormat="1" applyAlignment="1">
      <alignment horizontal="center"/>
    </xf>
    <xf numFmtId="0" fontId="0" fillId="9" borderId="0" xfId="0" applyFill="1"/>
    <xf numFmtId="0" fontId="0" fillId="2" borderId="1" xfId="0" applyFill="1" applyBorder="1" applyAlignment="1">
      <alignment horizontal="center"/>
    </xf>
    <xf numFmtId="0" fontId="4" fillId="2" borderId="0" xfId="0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4" fillId="4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5" fillId="2" borderId="0" xfId="0" applyFont="1" applyFill="1" applyAlignment="1">
      <alignment horizontal="center"/>
    </xf>
    <xf numFmtId="0" fontId="4" fillId="7" borderId="0" xfId="0" applyFont="1" applyFill="1" applyAlignment="1">
      <alignment horizontal="center"/>
    </xf>
    <xf numFmtId="0" fontId="4" fillId="6" borderId="0" xfId="0" applyFont="1" applyFill="1" applyAlignment="1">
      <alignment horizontal="center"/>
    </xf>
    <xf numFmtId="0" fontId="2" fillId="6" borderId="0" xfId="0" applyFont="1" applyFill="1" applyAlignment="1">
      <alignment horizontal="center"/>
    </xf>
    <xf numFmtId="0" fontId="2" fillId="0" borderId="0" xfId="0" applyFont="1" applyAlignment="1">
      <alignment horizontal="center"/>
    </xf>
    <xf numFmtId="0" fontId="0" fillId="2" borderId="0" xfId="0" applyFill="1" applyAlignment="1">
      <alignment horizontal="center"/>
    </xf>
  </cellXfs>
  <cellStyles count="2">
    <cellStyle name="Currency" xfId="1" builtinId="4"/>
    <cellStyle name="Normal" xfId="0" builtinId="0"/>
  </cellStyles>
  <dxfs count="141"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ill>
        <patternFill patternType="solid">
          <bgColor theme="9" tint="0.39997558519241921"/>
        </patternFill>
      </fill>
    </dxf>
    <dxf>
      <fill>
        <patternFill patternType="solid">
          <bgColor theme="9" tint="0.39997558519241921"/>
        </patternFill>
      </fill>
    </dxf>
    <dxf>
      <fill>
        <patternFill patternType="solid">
          <bgColor theme="9" tint="0.39997558519241921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ill>
        <patternFill patternType="solid">
          <bgColor theme="9" tint="0.39997558519241921"/>
        </patternFill>
      </fill>
    </dxf>
    <dxf>
      <fill>
        <patternFill patternType="solid">
          <bgColor theme="9" tint="0.39997558519241921"/>
        </patternFill>
      </fill>
    </dxf>
    <dxf>
      <fill>
        <patternFill patternType="solid">
          <bgColor theme="9" tint="0.39997558519241921"/>
        </patternFill>
      </fill>
    </dxf>
    <dxf>
      <fill>
        <patternFill patternType="solid">
          <bgColor theme="9" tint="0.39997558519241921"/>
        </patternFill>
      </fill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ill>
        <patternFill patternType="solid">
          <bgColor theme="9" tint="0.39997558519241921"/>
        </patternFill>
      </fill>
    </dxf>
    <dxf>
      <fill>
        <patternFill patternType="solid">
          <bgColor theme="9" tint="0.39997558519241921"/>
        </patternFill>
      </fill>
    </dxf>
    <dxf>
      <fill>
        <patternFill patternType="solid">
          <bgColor theme="9" tint="-0.249977111117893"/>
        </patternFill>
      </fill>
    </dxf>
    <dxf>
      <fill>
        <patternFill patternType="solid">
          <bgColor theme="9" tint="-0.249977111117893"/>
        </patternFill>
      </fill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ill>
        <patternFill patternType="solid">
          <bgColor rgb="FFFFFF00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numFmt numFmtId="34" formatCode="_(&quot;$&quot;* #,##0.00_);_(&quot;$&quot;* \(#,##0.00\);_(&quot;$&quot;* &quot;-&quot;??_);_(@_)"/>
    </dxf>
    <dxf>
      <alignment horizontal="center" readingOrder="0"/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numFmt numFmtId="34" formatCode="_(&quot;$&quot;* #,##0.00_);_(&quot;$&quot;* \(#,##0.00\);_(&quot;$&quot;* &quot;-&quot;??_);_(@_)"/>
    </dxf>
    <dxf>
      <numFmt numFmtId="164" formatCode="&quot;$&quot;#,##0.0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ill>
        <patternFill patternType="solid">
          <bgColor theme="9" tint="0.39997558519241921"/>
        </patternFill>
      </fill>
    </dxf>
    <dxf>
      <fill>
        <patternFill patternType="solid">
          <bgColor theme="9" tint="0.39997558519241921"/>
        </patternFill>
      </fill>
    </dxf>
    <dxf>
      <font>
        <color theme="1"/>
      </font>
    </dxf>
    <dxf>
      <font>
        <color theme="1"/>
      </font>
    </dxf>
    <dxf>
      <numFmt numFmtId="34" formatCode="_(&quot;$&quot;* #,##0.00_);_(&quot;$&quot;* \(#,##0.00\);_(&quot;$&quot;* &quot;-&quot;??_);_(@_)"/>
    </dxf>
    <dxf>
      <fill>
        <patternFill>
          <bgColor theme="9" tint="0.39997558519241921"/>
        </patternFill>
      </fill>
    </dxf>
    <dxf>
      <fill>
        <patternFill>
          <bgColor theme="9" tint="0.39997558519241921"/>
        </patternFill>
      </fill>
    </dxf>
    <dxf>
      <fill>
        <patternFill>
          <bgColor theme="9" tint="0.39997558519241921"/>
        </patternFill>
      </fill>
    </dxf>
    <dxf>
      <fill>
        <patternFill>
          <bgColor theme="9" tint="0.39997558519241921"/>
        </patternFill>
      </fill>
    </dxf>
    <dxf>
      <fill>
        <patternFill>
          <bgColor theme="9" tint="0.39997558519241921"/>
        </patternFill>
      </fill>
    </dxf>
    <dxf>
      <alignment horizontal="center" readingOrder="0"/>
    </dxf>
    <dxf>
      <alignment horizontal="center" readingOrder="0"/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39997558519241921"/>
        </patternFill>
      </fill>
    </dxf>
    <dxf>
      <fill>
        <patternFill patternType="solid">
          <bgColor theme="9" tint="0.39997558519241921"/>
        </patternFill>
      </fill>
    </dxf>
    <dxf>
      <fill>
        <patternFill patternType="solid">
          <bgColor theme="9" tint="0.39997558519241921"/>
        </patternFill>
      </fill>
    </dxf>
    <dxf>
      <fill>
        <patternFill patternType="solid">
          <bgColor theme="9" tint="0.39997558519241921"/>
        </patternFill>
      </fill>
    </dxf>
    <dxf>
      <fill>
        <patternFill patternType="solid">
          <bgColor theme="9" tint="0.39997558519241921"/>
        </patternFill>
      </fill>
    </dxf>
    <dxf>
      <alignment horizontal="center" readingOrder="0"/>
    </dxf>
    <dxf>
      <alignment horizontal="center" readingOrder="0"/>
    </dxf>
    <dxf>
      <fill>
        <patternFill patternType="solid">
          <bgColor theme="9" tint="0.39997558519241921"/>
        </patternFill>
      </fill>
    </dxf>
    <dxf>
      <fill>
        <patternFill patternType="solid">
          <bgColor theme="9" tint="0.39997558519241921"/>
        </patternFill>
      </fill>
    </dxf>
    <dxf>
      <fill>
        <patternFill patternType="solid">
          <bgColor theme="9" tint="0.39997558519241921"/>
        </patternFill>
      </fill>
    </dxf>
    <dxf>
      <fill>
        <patternFill patternType="solid">
          <bgColor theme="9" tint="0.39997558519241921"/>
        </patternFill>
      </fill>
    </dxf>
    <dxf>
      <fill>
        <patternFill patternType="solid">
          <bgColor theme="9" tint="0.39997558519241921"/>
        </patternFill>
      </fill>
    </dxf>
    <dxf>
      <alignment horizontal="center" readingOrder="0"/>
    </dxf>
    <dxf>
      <alignment horizontal="center" readingOrder="0"/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alignment horizontal="center" readingOrder="0"/>
    </dxf>
    <dxf>
      <fill>
        <patternFill patternType="solid">
          <bgColor theme="9" tint="-0.249977111117893"/>
        </patternFill>
      </fill>
    </dxf>
    <dxf>
      <fill>
        <patternFill patternType="solid">
          <bgColor theme="9" tint="-0.249977111117893"/>
        </patternFill>
      </fill>
    </dxf>
    <dxf>
      <fill>
        <patternFill patternType="solid">
          <bgColor theme="9" tint="-0.249977111117893"/>
        </patternFill>
      </fill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alignment horizontal="center" readingOrder="0"/>
    </dxf>
    <dxf>
      <fill>
        <patternFill patternType="solid">
          <bgColor theme="9" tint="-0.249977111117893"/>
        </patternFill>
      </fill>
    </dxf>
    <dxf>
      <fill>
        <patternFill patternType="solid">
          <bgColor theme="9" tint="-0.24997711111789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[Grant Student File.xlsm]Employee Expense by Divison!PivotTable8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Edmund Grant Pharmaceutical Company</a:t>
            </a:r>
          </a:p>
          <a:p>
            <a:pPr>
              <a:defRPr/>
            </a:pPr>
            <a:r>
              <a:rPr lang="en-US"/>
              <a:t>Employee</a:t>
            </a:r>
            <a:r>
              <a:rPr lang="en-US" baseline="0"/>
              <a:t> Expense by Division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1.3736263736263736E-2"/>
              <c:y val="-2.5271670457416308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9.1575091575091579E-3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9.1575091575091579E-3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4"/>
          </a:solidFill>
          <a:ln>
            <a:noFill/>
          </a:ln>
          <a:effectLst/>
        </c:spPr>
        <c:dLbl>
          <c:idx val="0"/>
          <c:layout>
            <c:manualLayout>
              <c:x val="1.0683760683760684E-2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4"/>
          </a:solidFill>
          <a:ln>
            <a:noFill/>
          </a:ln>
          <a:effectLst/>
        </c:spPr>
        <c:dLbl>
          <c:idx val="0"/>
          <c:layout>
            <c:manualLayout>
              <c:x val="9.1575091575091007E-3"/>
              <c:y val="2.5271670457417236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4"/>
          </a:solidFill>
          <a:ln>
            <a:noFill/>
          </a:ln>
          <a:effectLst/>
        </c:spPr>
        <c:dLbl>
          <c:idx val="0"/>
          <c:layout>
            <c:manualLayout>
              <c:x val="1.0683760683760571E-2"/>
              <c:y val="2.5271670457417236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1.3736263736263736E-2"/>
              <c:y val="-2.5271670457417236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4"/>
          </a:solidFill>
          <a:ln>
            <a:noFill/>
          </a:ln>
          <a:effectLst/>
        </c:spPr>
        <c:dLbl>
          <c:idx val="0"/>
          <c:layout>
            <c:manualLayout>
              <c:x val="1.3736263736263736E-2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1.221001221001221E-2"/>
              <c:y val="-2.5271670457417236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9.157509157509269E-3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4"/>
          </a:solidFill>
          <a:ln>
            <a:noFill/>
          </a:ln>
          <a:effectLst/>
        </c:spPr>
        <c:dLbl>
          <c:idx val="0"/>
          <c:layout>
            <c:manualLayout>
              <c:x val="1.0683760683760571E-2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2627657653904377E-2"/>
          <c:y val="9.8780592153046826E-2"/>
          <c:w val="0.88394536149848746"/>
          <c:h val="0.7504562874225104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'Employee Expense by Divison'!$B$3</c:f>
              <c:strCache>
                <c:ptCount val="1"/>
                <c:pt idx="0">
                  <c:v>Gas Expense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AAC-41A2-BE48-EE043A3C8606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AAC-41A2-BE48-EE043A3C8606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AAC-41A2-BE48-EE043A3C8606}"/>
              </c:ext>
            </c:extLst>
          </c:dPt>
          <c:dLbls>
            <c:dLbl>
              <c:idx val="0"/>
              <c:layout>
                <c:manualLayout>
                  <c:x val="-1.3736263736263736E-2"/>
                  <c:y val="-2.5271670457416308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AAC-41A2-BE48-EE043A3C8606}"/>
                </c:ext>
              </c:extLst>
            </c:dLbl>
            <c:dLbl>
              <c:idx val="1"/>
              <c:layout>
                <c:manualLayout>
                  <c:x val="-9.1575091575091579E-3"/>
                  <c:y val="0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AAC-41A2-BE48-EE043A3C8606}"/>
                </c:ext>
              </c:extLst>
            </c:dLbl>
            <c:dLbl>
              <c:idx val="4"/>
              <c:layout>
                <c:manualLayout>
                  <c:x val="-9.157509157509269E-3"/>
                  <c:y val="0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8AAC-41A2-BE48-EE043A3C860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'Employee Expense by Divison'!$A$4:$A$9</c:f>
              <c:strCach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strCache>
            </c:strRef>
          </c:cat>
          <c:val>
            <c:numRef>
              <c:f>'Employee Expense by Divison'!$B$4:$B$9</c:f>
              <c:numCache>
                <c:formatCode>_("$"* #,##0.00_);_("$"* \(#,##0.00\);_("$"* "-"??_);_(@_)</c:formatCode>
                <c:ptCount val="5"/>
                <c:pt idx="0">
                  <c:v>346.49600000000009</c:v>
                </c:pt>
                <c:pt idx="1">
                  <c:v>556.54399999999998</c:v>
                </c:pt>
                <c:pt idx="2">
                  <c:v>490.75200000000007</c:v>
                </c:pt>
                <c:pt idx="3">
                  <c:v>279.16800000000001</c:v>
                </c:pt>
                <c:pt idx="4">
                  <c:v>452.22399999999999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AAC-41A2-BE48-EE043A3C8606}"/>
            </c:ext>
          </c:extLst>
        </c:ser>
        <c:ser>
          <c:idx val="1"/>
          <c:order val="1"/>
          <c:tx>
            <c:strRef>
              <c:f>'Employee Expense by Divison'!$C$3</c:f>
              <c:strCache>
                <c:ptCount val="1"/>
                <c:pt idx="0">
                  <c:v>Hotel Expense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8AAC-41A2-BE48-EE043A3C8606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8AAC-41A2-BE48-EE043A3C8606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8AAC-41A2-BE48-EE043A3C8606}"/>
              </c:ext>
            </c:extLst>
          </c:dPt>
          <c:dLbls>
            <c:dLbl>
              <c:idx val="0"/>
              <c:layout>
                <c:manualLayout>
                  <c:x val="-1.3736263736263736E-2"/>
                  <c:y val="-2.5271670457417236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AAC-41A2-BE48-EE043A3C8606}"/>
                </c:ext>
              </c:extLst>
            </c:dLbl>
            <c:dLbl>
              <c:idx val="1"/>
              <c:layout>
                <c:manualLayout>
                  <c:x val="-9.1575091575091579E-3"/>
                  <c:y val="0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AAC-41A2-BE48-EE043A3C8606}"/>
                </c:ext>
              </c:extLst>
            </c:dLbl>
            <c:dLbl>
              <c:idx val="4"/>
              <c:layout>
                <c:manualLayout>
                  <c:x val="-1.221001221001221E-2"/>
                  <c:y val="-2.5271670457417236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AAC-41A2-BE48-EE043A3C860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'Employee Expense by Divison'!$A$4:$A$9</c:f>
              <c:strCach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strCache>
            </c:strRef>
          </c:cat>
          <c:val>
            <c:numRef>
              <c:f>'Employee Expense by Divison'!$C$4:$C$9</c:f>
              <c:numCache>
                <c:formatCode>_("$"* #,##0.00_);_("$"* \(#,##0.00\);_("$"* "-"??_);_(@_)</c:formatCode>
                <c:ptCount val="5"/>
                <c:pt idx="0">
                  <c:v>528.04999999999995</c:v>
                </c:pt>
                <c:pt idx="1">
                  <c:v>701.72</c:v>
                </c:pt>
                <c:pt idx="2">
                  <c:v>250.98</c:v>
                </c:pt>
                <c:pt idx="3">
                  <c:v>99.99</c:v>
                </c:pt>
                <c:pt idx="4">
                  <c:v>1153.2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AAC-41A2-BE48-EE043A3C8606}"/>
            </c:ext>
          </c:extLst>
        </c:ser>
        <c:ser>
          <c:idx val="2"/>
          <c:order val="2"/>
          <c:tx>
            <c:strRef>
              <c:f>'Employee Expense by Divison'!$D$3</c:f>
              <c:strCache>
                <c:ptCount val="1"/>
                <c:pt idx="0">
                  <c:v>Airfare Expense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'Employee Expense by Divison'!$A$4:$A$9</c:f>
              <c:strCach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strCache>
            </c:strRef>
          </c:cat>
          <c:val>
            <c:numRef>
              <c:f>'Employee Expense by Divison'!$D$4:$D$9</c:f>
              <c:numCache>
                <c:formatCode>_("$"* #,##0.00_);_("$"* \(#,##0.00\);_("$"* "-"??_);_(@_)</c:formatCode>
                <c:ptCount val="5"/>
                <c:pt idx="0">
                  <c:v>1657.8200000000002</c:v>
                </c:pt>
                <c:pt idx="1">
                  <c:v>1061.8800000000001</c:v>
                </c:pt>
                <c:pt idx="2">
                  <c:v>1032.54</c:v>
                </c:pt>
                <c:pt idx="3">
                  <c:v>1850.26</c:v>
                </c:pt>
                <c:pt idx="4">
                  <c:v>2035.24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AAC-41A2-BE48-EE043A3C8606}"/>
            </c:ext>
          </c:extLst>
        </c:ser>
        <c:ser>
          <c:idx val="3"/>
          <c:order val="3"/>
          <c:tx>
            <c:strRef>
              <c:f>'Employee Expense by Divison'!$E$3</c:f>
              <c:strCache>
                <c:ptCount val="1"/>
                <c:pt idx="0">
                  <c:v>Meals Expense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8AAC-41A2-BE48-EE043A3C8606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8AAC-41A2-BE48-EE043A3C8606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4-8AAC-41A2-BE48-EE043A3C8606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6-8AAC-41A2-BE48-EE043A3C8606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8-8AAC-41A2-BE48-EE043A3C8606}"/>
              </c:ext>
            </c:extLst>
          </c:dPt>
          <c:dLbls>
            <c:dLbl>
              <c:idx val="0"/>
              <c:layout>
                <c:manualLayout>
                  <c:x val="1.0683760683760684E-2"/>
                  <c:y val="0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8AAC-41A2-BE48-EE043A3C8606}"/>
                </c:ext>
              </c:extLst>
            </c:dLbl>
            <c:dLbl>
              <c:idx val="1"/>
              <c:layout>
                <c:manualLayout>
                  <c:x val="9.1575091575091007E-3"/>
                  <c:y val="2.5271670457417236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8AAC-41A2-BE48-EE043A3C8606}"/>
                </c:ext>
              </c:extLst>
            </c:dLbl>
            <c:dLbl>
              <c:idx val="2"/>
              <c:layout>
                <c:manualLayout>
                  <c:x val="1.0683760683760571E-2"/>
                  <c:y val="2.5271670457417236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8AAC-41A2-BE48-EE043A3C8606}"/>
                </c:ext>
              </c:extLst>
            </c:dLbl>
            <c:dLbl>
              <c:idx val="3"/>
              <c:layout>
                <c:manualLayout>
                  <c:x val="1.3736263736263736E-2"/>
                  <c:y val="0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8AAC-41A2-BE48-EE043A3C8606}"/>
                </c:ext>
              </c:extLst>
            </c:dLbl>
            <c:dLbl>
              <c:idx val="4"/>
              <c:layout>
                <c:manualLayout>
                  <c:x val="1.0683760683760571E-2"/>
                  <c:y val="0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8AAC-41A2-BE48-EE043A3C860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'Employee Expense by Divison'!$A$4:$A$9</c:f>
              <c:strCach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strCache>
            </c:strRef>
          </c:cat>
          <c:val>
            <c:numRef>
              <c:f>'Employee Expense by Divison'!$E$4:$E$9</c:f>
              <c:numCache>
                <c:formatCode>_("$"* #,##0.00_);_("$"* \(#,##0.00\);_("$"* "-"??_);_(@_)</c:formatCode>
                <c:ptCount val="5"/>
                <c:pt idx="0">
                  <c:v>416.20000000000005</c:v>
                </c:pt>
                <c:pt idx="1">
                  <c:v>428.4</c:v>
                </c:pt>
                <c:pt idx="2">
                  <c:v>606.53</c:v>
                </c:pt>
                <c:pt idx="3">
                  <c:v>1106.07</c:v>
                </c:pt>
                <c:pt idx="4">
                  <c:v>812.95999999999992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8AAC-41A2-BE48-EE043A3C860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75"/>
        <c:axId val="362659464"/>
        <c:axId val="362660248"/>
      </c:barChart>
      <c:catAx>
        <c:axId val="3626594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Division</a:t>
                </a:r>
              </a:p>
            </c:rich>
          </c:tx>
          <c:layout>
            <c:manualLayout>
              <c:xMode val="edge"/>
              <c:yMode val="edge"/>
              <c:x val="0.49915014388261708"/>
              <c:y val="0.8931313371722741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660248"/>
        <c:crosses val="autoZero"/>
        <c:auto val="1"/>
        <c:lblAlgn val="ctr"/>
        <c:lblOffset val="100"/>
        <c:noMultiLvlLbl val="0"/>
      </c:catAx>
      <c:valAx>
        <c:axId val="36266024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Expenses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659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[Grant Student File.xlsm]Employee Mileage Division 1!PivotTable2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Edmund</a:t>
            </a:r>
            <a:r>
              <a:rPr lang="en-US" baseline="0"/>
              <a:t> Grant Pharmaceutical Company</a:t>
            </a:r>
          </a:p>
          <a:p>
            <a:pPr>
              <a:defRPr/>
            </a:pPr>
            <a:r>
              <a:rPr lang="en-US" baseline="0"/>
              <a:t>Employee Mileage-Division 1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'Employee Mileage Division 1'!$B$5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'Employee Mileage Division 1'!$A$6:$A$10</c:f>
              <c:strCache>
                <c:ptCount val="4"/>
                <c:pt idx="0">
                  <c:v>Brown</c:v>
                </c:pt>
                <c:pt idx="1">
                  <c:v>Knauf</c:v>
                </c:pt>
                <c:pt idx="2">
                  <c:v>Leminsky</c:v>
                </c:pt>
                <c:pt idx="3">
                  <c:v>Zorio</c:v>
                </c:pt>
              </c:strCache>
            </c:strRef>
          </c:cat>
          <c:val>
            <c:numRef>
              <c:f>'Employee Mileage Division 1'!$B$6:$B$10</c:f>
              <c:numCache>
                <c:formatCode>General</c:formatCode>
                <c:ptCount val="4"/>
                <c:pt idx="0">
                  <c:v>591</c:v>
                </c:pt>
                <c:pt idx="1">
                  <c:v>1108</c:v>
                </c:pt>
                <c:pt idx="2">
                  <c:v>526</c:v>
                </c:pt>
                <c:pt idx="3">
                  <c:v>482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6E-44C7-AE25-EF9B41A2341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365816824"/>
        <c:axId val="365819568"/>
      </c:barChart>
      <c:catAx>
        <c:axId val="3658168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Employee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819568"/>
        <c:crosses val="autoZero"/>
        <c:auto val="1"/>
        <c:lblAlgn val="ctr"/>
        <c:lblOffset val="100"/>
        <c:noMultiLvlLbl val="0"/>
      </c:catAx>
      <c:valAx>
        <c:axId val="365819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Mileage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816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Categories val="1"/>
        <c14:dropZoneData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219075</xdr:colOff>
      <xdr:row>0</xdr:row>
      <xdr:rowOff>142875</xdr:rowOff>
    </xdr:from>
    <xdr:to>
      <xdr:col>1</xdr:col>
      <xdr:colOff>104775</xdr:colOff>
      <xdr:row>2</xdr:row>
      <xdr:rowOff>0</xdr:rowOff>
    </xdr:to>
    <xdr:sp macro="[0]!Clear_Criteri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19075" y="142875"/>
          <a:ext cx="771525" cy="2952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    Clear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236220</xdr:colOff>
      <xdr:row>10</xdr:row>
      <xdr:rowOff>49530</xdr:rowOff>
    </xdr:from>
    <xdr:to>
      <xdr:col>12</xdr:col>
      <xdr:colOff>327660</xdr:colOff>
      <xdr:row>37</xdr:row>
      <xdr:rowOff>137160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167640</xdr:rowOff>
    </xdr:from>
    <xdr:to>
      <xdr:col>11</xdr:col>
      <xdr:colOff>160020</xdr:colOff>
      <xdr:row>36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a, Patrick L. (UMSL-Student)" refreshedDate="43033.566922337966" createdVersion="6" refreshedVersion="6" minRefreshableVersion="3" recordCount="23" xr:uid="{00000000-000A-0000-FFFF-FFFF00000000}">
  <cacheSource type="worksheet">
    <worksheetSource ref="A7:P30" sheet="Expense"/>
  </cacheSource>
  <cacheFields count="16">
    <cacheField name="Last Name" numFmtId="0">
      <sharedItems count="23">
        <s v="Aguayo"/>
        <s v="Barnes"/>
        <s v="Blatt"/>
        <s v="Brown"/>
        <s v="Caldwell"/>
        <s v="Chidester"/>
        <s v="Cruce"/>
        <s v="Dixon"/>
        <s v="Friot"/>
        <s v="Gatchell"/>
        <s v="Hopkins"/>
        <s v="Jacober"/>
        <s v="Kinyon"/>
        <s v="Knauf"/>
        <s v="Knott"/>
        <s v="Leminsky"/>
        <s v="Nussbaum"/>
        <s v="Nyu"/>
        <s v="Pixley"/>
        <s v="Pizana"/>
        <s v="Repetto"/>
        <s v="Vorse"/>
        <s v="Zorio"/>
      </sharedItems>
    </cacheField>
    <cacheField name="First Name" numFmtId="0">
      <sharedItems count="23">
        <s v="Alfredo"/>
        <s v="Art"/>
        <s v="Renae"/>
        <s v="Clyde"/>
        <s v="Chad"/>
        <s v="Stuart"/>
        <s v="Cindy"/>
        <s v="Gwen"/>
        <s v="Teresa"/>
        <s v="Todd"/>
        <s v="Bill"/>
        <s v="Rick"/>
        <s v="Kirby"/>
        <s v="Ronald"/>
        <s v="Cathy"/>
        <s v="Marsha"/>
        <s v="Oleg"/>
        <s v="Kwame"/>
        <s v="Kevin"/>
        <s v="Patricia"/>
        <s v="Eduardo"/>
        <s v="Barry"/>
        <s v="Sherol"/>
      </sharedItems>
    </cacheField>
    <cacheField name="Division" numFmtId="0">
      <sharedItems containsSemiMixedTypes="0" containsString="0" containsNumber="1" containsInteger="1" minValue="1" maxValue="5" count="5">
        <n v="5"/>
        <n v="3"/>
        <n v="2"/>
        <n v="1"/>
        <n v="4"/>
      </sharedItems>
    </cacheField>
    <cacheField name="Position" numFmtId="0">
      <sharedItems count="4">
        <s v="MN"/>
        <s v="SU"/>
        <s v="S1"/>
        <s v="S2"/>
      </sharedItems>
    </cacheField>
    <cacheField name="Beginning Mileage" numFmtId="0">
      <sharedItems containsSemiMixedTypes="0" containsString="0" containsNumber="1" containsInteger="1" minValue="0" maxValue="78369"/>
    </cacheField>
    <cacheField name="Ending Mileage" numFmtId="0">
      <sharedItems containsSemiMixedTypes="0" containsString="0" containsNumber="1" containsInteger="1" minValue="0" maxValue="79000"/>
    </cacheField>
    <cacheField name="Actual Mileage" numFmtId="0">
      <sharedItems containsSemiMixedTypes="0" containsString="0" containsNumber="1" containsInteger="1" minValue="0" maxValue="1948"/>
    </cacheField>
    <cacheField name="Meals" numFmtId="164">
      <sharedItems containsSemiMixedTypes="0" containsString="0" containsNumber="1" minValue="0" maxValue="789.95"/>
    </cacheField>
    <cacheField name="Phone" numFmtId="164">
      <sharedItems containsSemiMixedTypes="0" containsString="0" containsNumber="1" minValue="0" maxValue="457.98"/>
    </cacheField>
    <cacheField name="Gas" numFmtId="164">
      <sharedItems containsSemiMixedTypes="0" containsString="0" containsNumber="1" minValue="0" maxValue="249.34400000000002"/>
    </cacheField>
    <cacheField name="Hotel" numFmtId="164">
      <sharedItems containsSemiMixedTypes="0" containsString="0" containsNumber="1" minValue="0" maxValue="650.23"/>
    </cacheField>
    <cacheField name="Miscellaneous" numFmtId="164">
      <sharedItems containsSemiMixedTypes="0" containsString="0" containsNumber="1" minValue="0" maxValue="1520.32"/>
    </cacheField>
    <cacheField name="Airfare" numFmtId="164">
      <sharedItems containsSemiMixedTypes="0" containsString="0" containsNumber="1" minValue="0" maxValue="1802.78"/>
    </cacheField>
    <cacheField name="Total Expenses" numFmtId="164">
      <sharedItems containsSemiMixedTypes="0" containsString="0" containsNumber="1" minValue="0" maxValue="4420.74"/>
    </cacheField>
    <cacheField name="Overage" numFmtId="0">
      <sharedItems containsSemiMixedTypes="0" containsString="0" containsNumber="1" containsInteger="1" minValue="0" maxValue="1248"/>
    </cacheField>
    <cacheField name="Overage Charge" numFmtId="164">
      <sharedItems containsSemiMixedTypes="0" containsString="0" containsNumber="1" minValue="0" maxValue="249.600000000000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3">
  <r>
    <x v="0"/>
    <x v="0"/>
    <x v="0"/>
    <x v="0"/>
    <n v="25987"/>
    <n v="26480"/>
    <n v="493"/>
    <n v="159.78"/>
    <n v="40.99"/>
    <n v="63.103999999999999"/>
    <n v="0"/>
    <n v="5.98"/>
    <n v="1802.78"/>
    <n v="2072.634"/>
    <n v="0"/>
    <n v="0"/>
  </r>
  <r>
    <x v="1"/>
    <x v="1"/>
    <x v="1"/>
    <x v="1"/>
    <n v="4598"/>
    <n v="5590"/>
    <n v="992"/>
    <n v="154.97999999999999"/>
    <n v="109.23"/>
    <n v="126.97600000000001"/>
    <n v="0"/>
    <n v="45.69"/>
    <n v="806.57"/>
    <n v="1243.4459999999999"/>
    <n v="392"/>
    <n v="86.24"/>
  </r>
  <r>
    <x v="2"/>
    <x v="2"/>
    <x v="2"/>
    <x v="2"/>
    <n v="48035"/>
    <n v="48886"/>
    <n v="851"/>
    <n v="47.89"/>
    <n v="44.7"/>
    <n v="108.928"/>
    <n v="0"/>
    <n v="450.88"/>
    <n v="0"/>
    <n v="652.39800000000002"/>
    <n v="351"/>
    <n v="112.32000000000001"/>
  </r>
  <r>
    <x v="3"/>
    <x v="3"/>
    <x v="3"/>
    <x v="0"/>
    <n v="62087"/>
    <n v="62678"/>
    <n v="591"/>
    <n v="145.36000000000001"/>
    <n v="48.69"/>
    <n v="75.64800000000001"/>
    <n v="119.25"/>
    <n v="65.48"/>
    <n v="450.25"/>
    <n v="904.67800000000011"/>
    <n v="0"/>
    <n v="0"/>
  </r>
  <r>
    <x v="4"/>
    <x v="4"/>
    <x v="0"/>
    <x v="2"/>
    <n v="39878"/>
    <n v="40800"/>
    <n v="922"/>
    <n v="258.77999999999997"/>
    <n v="19.989999999999998"/>
    <n v="118.01600000000001"/>
    <n v="302.98"/>
    <n v="54.69"/>
    <n v="0"/>
    <n v="754.45600000000013"/>
    <n v="422"/>
    <n v="135.04"/>
  </r>
  <r>
    <x v="5"/>
    <x v="5"/>
    <x v="2"/>
    <x v="3"/>
    <n v="78369"/>
    <n v="79000"/>
    <n v="631"/>
    <n v="158.36000000000001"/>
    <n v="46.99"/>
    <n v="80.768000000000001"/>
    <n v="450.98"/>
    <n v="1520.32"/>
    <n v="259.89"/>
    <n v="2517.308"/>
    <n v="81"/>
    <n v="20.25"/>
  </r>
  <r>
    <x v="6"/>
    <x v="6"/>
    <x v="0"/>
    <x v="3"/>
    <n v="58010"/>
    <n v="58450"/>
    <n v="440"/>
    <n v="160.80000000000001"/>
    <n v="14.07"/>
    <n v="56.32"/>
    <n v="0"/>
    <n v="0"/>
    <n v="0"/>
    <n v="231.19"/>
    <n v="0"/>
    <n v="0"/>
  </r>
  <r>
    <x v="7"/>
    <x v="7"/>
    <x v="4"/>
    <x v="3"/>
    <n v="11078"/>
    <n v="11450"/>
    <n v="372"/>
    <n v="125"/>
    <n v="69.08"/>
    <n v="47.616000000000007"/>
    <n v="0"/>
    <n v="0"/>
    <n v="0"/>
    <n v="241.696"/>
    <n v="0"/>
    <n v="0"/>
  </r>
  <r>
    <x v="8"/>
    <x v="8"/>
    <x v="0"/>
    <x v="1"/>
    <n v="70000"/>
    <n v="71089"/>
    <n v="1089"/>
    <n v="159"/>
    <n v="99.99"/>
    <n v="139.39200000000002"/>
    <n v="199.99"/>
    <n v="45.69"/>
    <n v="129.97999999999999"/>
    <n v="774.04200000000014"/>
    <n v="489"/>
    <n v="107.58"/>
  </r>
  <r>
    <x v="9"/>
    <x v="9"/>
    <x v="1"/>
    <x v="2"/>
    <n v="12580"/>
    <n v="12580"/>
    <n v="0"/>
    <n v="56.12"/>
    <n v="0"/>
    <n v="0"/>
    <n v="0"/>
    <n v="0"/>
    <n v="0"/>
    <n v="56.12"/>
    <n v="0"/>
    <n v="0"/>
  </r>
  <r>
    <x v="10"/>
    <x v="10"/>
    <x v="4"/>
    <x v="0"/>
    <n v="74098"/>
    <n v="75098"/>
    <n v="1000"/>
    <n v="789.95"/>
    <n v="252.04"/>
    <n v="128"/>
    <n v="0"/>
    <n v="1500.48"/>
    <n v="1750.27"/>
    <n v="4420.74"/>
    <n v="300"/>
    <n v="60"/>
  </r>
  <r>
    <x v="11"/>
    <x v="11"/>
    <x v="2"/>
    <x v="1"/>
    <n v="5102"/>
    <n v="6020"/>
    <n v="918"/>
    <n v="157.4"/>
    <n v="14.07"/>
    <n v="117.504"/>
    <n v="0"/>
    <n v="0"/>
    <n v="0"/>
    <n v="288.97399999999999"/>
    <n v="318"/>
    <n v="69.959999999999994"/>
  </r>
  <r>
    <x v="12"/>
    <x v="12"/>
    <x v="4"/>
    <x v="1"/>
    <n v="52890"/>
    <n v="53479"/>
    <n v="589"/>
    <n v="145.25"/>
    <n v="19.989999999999998"/>
    <n v="75.391999999999996"/>
    <n v="99.99"/>
    <n v="26.48"/>
    <n v="99.99"/>
    <n v="467.09200000000004"/>
    <n v="0"/>
    <n v="0"/>
  </r>
  <r>
    <x v="13"/>
    <x v="13"/>
    <x v="3"/>
    <x v="1"/>
    <n v="58789"/>
    <n v="59897"/>
    <n v="1108"/>
    <n v="56.36"/>
    <n v="148.25"/>
    <n v="141.82400000000001"/>
    <n v="258.32"/>
    <n v="69.23"/>
    <n v="957.45"/>
    <n v="1631.4340000000002"/>
    <n v="508"/>
    <n v="111.76"/>
  </r>
  <r>
    <x v="14"/>
    <x v="14"/>
    <x v="4"/>
    <x v="2"/>
    <n v="6980"/>
    <n v="7200"/>
    <n v="220"/>
    <n v="45.87"/>
    <n v="25.98"/>
    <n v="28.16"/>
    <n v="0"/>
    <n v="0"/>
    <n v="0"/>
    <n v="100.00999999999999"/>
    <n v="0"/>
    <n v="0"/>
  </r>
  <r>
    <x v="15"/>
    <x v="15"/>
    <x v="3"/>
    <x v="2"/>
    <n v="52082"/>
    <n v="52608"/>
    <n v="526"/>
    <n v="147.25"/>
    <n v="19.07"/>
    <n v="67.328000000000003"/>
    <n v="0"/>
    <n v="0"/>
    <n v="0"/>
    <n v="233.648"/>
    <n v="26"/>
    <n v="8.32"/>
  </r>
  <r>
    <x v="16"/>
    <x v="16"/>
    <x v="1"/>
    <x v="3"/>
    <n v="58015"/>
    <n v="59500"/>
    <n v="1485"/>
    <n v="65.7"/>
    <n v="87.89"/>
    <n v="190.08"/>
    <n v="0"/>
    <n v="0"/>
    <n v="0"/>
    <n v="343.67"/>
    <n v="935"/>
    <n v="233.75"/>
  </r>
  <r>
    <x v="17"/>
    <x v="17"/>
    <x v="2"/>
    <x v="0"/>
    <n v="59052"/>
    <n v="61000"/>
    <n v="1948"/>
    <n v="64.75"/>
    <n v="159.88999999999999"/>
    <n v="249.34400000000002"/>
    <n v="250.74"/>
    <n v="0"/>
    <n v="801.99"/>
    <n v="1526.7139999999999"/>
    <n v="1248"/>
    <n v="249.60000000000002"/>
  </r>
  <r>
    <x v="18"/>
    <x v="18"/>
    <x v="1"/>
    <x v="2"/>
    <n v="59802"/>
    <n v="60856"/>
    <n v="1054"/>
    <n v="189.98"/>
    <n v="45.98"/>
    <n v="134.91200000000001"/>
    <n v="250.98"/>
    <n v="56.99"/>
    <n v="125.98"/>
    <n v="804.822"/>
    <n v="554"/>
    <n v="177.28"/>
  </r>
  <r>
    <x v="19"/>
    <x v="19"/>
    <x v="0"/>
    <x v="3"/>
    <n v="0"/>
    <n v="0"/>
    <n v="0"/>
    <n v="0"/>
    <n v="0"/>
    <n v="0"/>
    <n v="0"/>
    <n v="0"/>
    <n v="0"/>
    <n v="0"/>
    <n v="0"/>
    <n v="0"/>
  </r>
  <r>
    <x v="20"/>
    <x v="20"/>
    <x v="0"/>
    <x v="3"/>
    <n v="35011"/>
    <n v="35600"/>
    <n v="589"/>
    <n v="74.599999999999994"/>
    <n v="457.98"/>
    <n v="75.391999999999996"/>
    <n v="650.23"/>
    <n v="0"/>
    <n v="102.48"/>
    <n v="1360.682"/>
    <n v="39"/>
    <n v="9.75"/>
  </r>
  <r>
    <x v="21"/>
    <x v="21"/>
    <x v="1"/>
    <x v="0"/>
    <n v="25002"/>
    <n v="25305"/>
    <n v="303"/>
    <n v="139.75"/>
    <n v="257.45"/>
    <n v="38.783999999999999"/>
    <n v="0"/>
    <n v="0"/>
    <n v="99.99"/>
    <n v="535.97399999999993"/>
    <n v="0"/>
    <n v="0"/>
  </r>
  <r>
    <x v="22"/>
    <x v="22"/>
    <x v="3"/>
    <x v="3"/>
    <n v="32058"/>
    <n v="32540"/>
    <n v="482"/>
    <n v="67.23"/>
    <n v="107.25"/>
    <n v="61.696000000000005"/>
    <n v="150.47999999999999"/>
    <n v="0"/>
    <n v="250.12"/>
    <n v="636.77600000000007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Division">
  <location ref="A3:H9" firstHeaderRow="0" firstDataRow="1" firstDataCol="1"/>
  <pivotFields count="16">
    <pivotField showAll="0"/>
    <pivotField showAll="0"/>
    <pivotField axis="axisRow" showAll="0">
      <items count="6">
        <item x="3"/>
        <item x="2"/>
        <item x="1"/>
        <item x="4"/>
        <item x="0"/>
        <item t="default"/>
      </items>
    </pivotField>
    <pivotField showAll="0"/>
    <pivotField showAll="0"/>
    <pivotField showAll="0"/>
    <pivotField showAll="0"/>
    <pivotField dataField="1" numFmtId="164" showAll="0"/>
    <pivotField dataField="1" numFmtId="164" showAll="0"/>
    <pivotField dataField="1" numFmtId="164" showAll="0"/>
    <pivotField dataField="1" numFmtId="164" showAll="0"/>
    <pivotField dataField="1" numFmtId="164" showAll="0"/>
    <pivotField dataField="1" numFmtId="164" showAll="0"/>
    <pivotField dataField="1" numFmtId="164" showAll="0"/>
    <pivotField showAll="0"/>
    <pivotField numFmtId="164" showAll="0"/>
  </pivotFields>
  <rowFields count="1">
    <field x="2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Meals " fld="7" baseField="2" baseItem="0" numFmtId="164"/>
    <dataField name="Phone " fld="8" baseField="2" baseItem="0" numFmtId="164"/>
    <dataField name="Gas " fld="9" baseField="2" baseItem="0" numFmtId="164"/>
    <dataField name="Hotel " fld="10" baseField="2" baseItem="0" numFmtId="164"/>
    <dataField name="Miscellaneous " fld="11" baseField="2" baseItem="0" numFmtId="164"/>
    <dataField name="Airfare " fld="12" baseField="2" baseItem="0" numFmtId="164"/>
    <dataField name="Total Expenses " fld="13" baseField="2" baseItem="0" numFmtId="164"/>
  </dataFields>
  <formats count="10">
    <format dxfId="133">
      <pivotArea field="2" type="button" dataOnly="0" labelOnly="1" outline="0" axis="axisRow" fieldPosition="0"/>
    </format>
    <format dxfId="132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  <format dxfId="131">
      <pivotArea dataOnly="0" labelOnly="1" fieldPosition="0">
        <references count="1">
          <reference field="2" count="0"/>
        </references>
      </pivotArea>
    </format>
    <format dxfId="130">
      <pivotArea outline="0" fieldPosition="0">
        <references count="1">
          <reference field="4294967294" count="1">
            <x v="0"/>
          </reference>
        </references>
      </pivotArea>
    </format>
    <format dxfId="129">
      <pivotArea outline="0" fieldPosition="0">
        <references count="1">
          <reference field="4294967294" count="1">
            <x v="1"/>
          </reference>
        </references>
      </pivotArea>
    </format>
    <format dxfId="128">
      <pivotArea outline="0" fieldPosition="0">
        <references count="1">
          <reference field="4294967294" count="1">
            <x v="2"/>
          </reference>
        </references>
      </pivotArea>
    </format>
    <format dxfId="127">
      <pivotArea outline="0" fieldPosition="0">
        <references count="1">
          <reference field="4294967294" count="1">
            <x v="3"/>
          </reference>
        </references>
      </pivotArea>
    </format>
    <format dxfId="126">
      <pivotArea outline="0" fieldPosition="0">
        <references count="1">
          <reference field="4294967294" count="1">
            <x v="4"/>
          </reference>
        </references>
      </pivotArea>
    </format>
    <format dxfId="125">
      <pivotArea outline="0" fieldPosition="0">
        <references count="1">
          <reference field="4294967294" count="1">
            <x v="5"/>
          </reference>
        </references>
      </pivotArea>
    </format>
    <format dxfId="124">
      <pivotArea outline="0" fieldPosition="0">
        <references count="1">
          <reference field="4294967294" count="1">
            <x v="6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PivotTable2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Position">
  <location ref="A4:B9" firstHeaderRow="1" firstDataRow="1" firstDataCol="1"/>
  <pivotFields count="16">
    <pivotField showAll="0"/>
    <pivotField showAll="0"/>
    <pivotField showAll="0"/>
    <pivotField axis="axisRow" showAll="0">
      <items count="5">
        <item x="0"/>
        <item x="2"/>
        <item x="3"/>
        <item x="1"/>
        <item t="default"/>
      </items>
    </pivotField>
    <pivotField showAll="0"/>
    <pivotField showAll="0"/>
    <pivotField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dataField="1" numFmtId="164" showAll="0"/>
    <pivotField showAll="0"/>
    <pivotField numFmtId="164" showAll="0"/>
  </pivotFields>
  <rowFields count="1">
    <field x="3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Total Expenses " fld="13" baseField="3" baseItem="0" numFmtId="164"/>
  </dataFields>
  <formats count="4">
    <format dxfId="123">
      <pivotArea field="3" type="button" dataOnly="0" labelOnly="1" outline="0" axis="axisRow" fieldPosition="0"/>
    </format>
    <format dxfId="122">
      <pivotArea dataOnly="0" labelOnly="1" outline="0" axis="axisValues" fieldPosition="0"/>
    </format>
    <format dxfId="121">
      <pivotArea dataOnly="0" labelOnly="1" outline="0" axis="axisValues" fieldPosition="0"/>
    </format>
    <format dxfId="120">
      <pivotArea dataOnly="0" labelOnly="1" fieldPosition="0">
        <references count="1">
          <reference field="3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PivotTable3" cacheId="0" applyNumberFormats="0" applyBorderFormats="0" applyFontFormats="0" applyPatternFormats="0" applyAlignmentFormats="0" applyWidthHeightFormats="1" dataCaption="Values" updatedVersion="5" minRefreshableVersion="3" useAutoFormatting="1" rowGrandTotals="0" itemPrintTitles="1" createdVersion="6" indent="0" outline="1" outlineData="1" multipleFieldFilters="0" rowHeaderCaption="Division Number">
  <location ref="A5:D35" firstHeaderRow="0" firstDataRow="1" firstDataCol="1"/>
  <pivotFields count="16">
    <pivotField showAll="0"/>
    <pivotField showAll="0"/>
    <pivotField name="Division" axis="axisRow" subtotalTop="0" showAll="0">
      <items count="6">
        <item x="3"/>
        <item x="2"/>
        <item x="1"/>
        <item x="4"/>
        <item x="0"/>
        <item t="default"/>
      </items>
    </pivotField>
    <pivotField axis="axisRow" showAll="0">
      <items count="5">
        <item x="0"/>
        <item x="2"/>
        <item x="3"/>
        <item x="1"/>
        <item t="default"/>
      </items>
    </pivotField>
    <pivotField showAll="0"/>
    <pivotField showAll="0"/>
    <pivotField showAll="0"/>
    <pivotField dataField="1" numFmtId="164" showAll="0"/>
    <pivotField dataField="1" numFmtId="164" showAll="0"/>
    <pivotField dataField="1" numFmtId="164" showAll="0"/>
    <pivotField numFmtId="164" showAll="0"/>
    <pivotField numFmtId="164" showAll="0"/>
    <pivotField numFmtId="164" showAll="0"/>
    <pivotField numFmtId="164" showAll="0"/>
    <pivotField showAll="0"/>
    <pivotField numFmtId="164" showAll="0"/>
  </pivotFields>
  <rowFields count="2">
    <field x="2"/>
    <field x="3"/>
  </rowFields>
  <rowItems count="30">
    <i>
      <x/>
    </i>
    <i r="1">
      <x/>
    </i>
    <i r="1">
      <x v="1"/>
    </i>
    <i r="1">
      <x v="2"/>
    </i>
    <i r="1">
      <x v="3"/>
    </i>
    <i t="default">
      <x/>
    </i>
    <i>
      <x v="1"/>
    </i>
    <i r="1">
      <x/>
    </i>
    <i r="1">
      <x v="1"/>
    </i>
    <i r="1">
      <x v="2"/>
    </i>
    <i r="1">
      <x v="3"/>
    </i>
    <i t="default">
      <x v="1"/>
    </i>
    <i>
      <x v="2"/>
    </i>
    <i r="1">
      <x/>
    </i>
    <i r="1">
      <x v="1"/>
    </i>
    <i r="1">
      <x v="2"/>
    </i>
    <i r="1">
      <x v="3"/>
    </i>
    <i t="default">
      <x v="2"/>
    </i>
    <i>
      <x v="3"/>
    </i>
    <i r="1">
      <x/>
    </i>
    <i r="1">
      <x v="1"/>
    </i>
    <i r="1">
      <x v="2"/>
    </i>
    <i r="1">
      <x v="3"/>
    </i>
    <i t="default">
      <x v="3"/>
    </i>
    <i>
      <x v="4"/>
    </i>
    <i r="1">
      <x/>
    </i>
    <i r="1">
      <x v="1"/>
    </i>
    <i r="1">
      <x v="2"/>
    </i>
    <i r="1">
      <x v="3"/>
    </i>
    <i t="default">
      <x v="4"/>
    </i>
  </rowItems>
  <colFields count="1">
    <field x="-2"/>
  </colFields>
  <colItems count="3">
    <i>
      <x/>
    </i>
    <i i="1">
      <x v="1"/>
    </i>
    <i i="2">
      <x v="2"/>
    </i>
  </colItems>
  <dataFields count="3">
    <dataField name="Phone Expense" fld="8" baseField="3" baseItem="0" numFmtId="164"/>
    <dataField name="Meals Expense" fld="7" baseField="3" baseItem="0" numFmtId="164"/>
    <dataField name="Gas Expense" fld="9" baseField="3" baseItem="0" numFmtId="164"/>
  </dataFields>
  <formats count="33">
    <format dxfId="119">
      <pivotArea collapsedLevelsAreSubtotals="1" fieldPosition="0">
        <references count="3">
          <reference field="4294967294" count="1" selected="0">
            <x v="0"/>
          </reference>
          <reference field="2" count="1" selected="0">
            <x v="0"/>
          </reference>
          <reference field="3" count="0"/>
        </references>
      </pivotArea>
    </format>
    <format dxfId="118">
      <pivotArea collapsedLevelsAreSubtotals="1" fieldPosition="0">
        <references count="2">
          <reference field="4294967294" count="1" selected="0">
            <x v="0"/>
          </reference>
          <reference field="2" count="1" defaultSubtotal="1">
            <x v="0"/>
          </reference>
        </references>
      </pivotArea>
    </format>
    <format dxfId="117">
      <pivotArea collapsedLevelsAreSubtotals="1" fieldPosition="0">
        <references count="2">
          <reference field="4294967294" count="1" selected="0">
            <x v="0"/>
          </reference>
          <reference field="2" count="1">
            <x v="1"/>
          </reference>
        </references>
      </pivotArea>
    </format>
    <format dxfId="116">
      <pivotArea collapsedLevelsAreSubtotals="1" fieldPosition="0">
        <references count="3">
          <reference field="4294967294" count="1" selected="0">
            <x v="0"/>
          </reference>
          <reference field="2" count="1" selected="0">
            <x v="1"/>
          </reference>
          <reference field="3" count="0"/>
        </references>
      </pivotArea>
    </format>
    <format dxfId="115">
      <pivotArea collapsedLevelsAreSubtotals="1" fieldPosition="0">
        <references count="2">
          <reference field="4294967294" count="1" selected="0">
            <x v="0"/>
          </reference>
          <reference field="2" count="1" defaultSubtotal="1">
            <x v="1"/>
          </reference>
        </references>
      </pivotArea>
    </format>
    <format dxfId="114">
      <pivotArea collapsedLevelsAreSubtotals="1" fieldPosition="0">
        <references count="2">
          <reference field="4294967294" count="1" selected="0">
            <x v="0"/>
          </reference>
          <reference field="2" count="1">
            <x v="2"/>
          </reference>
        </references>
      </pivotArea>
    </format>
    <format dxfId="113">
      <pivotArea collapsedLevelsAreSubtotals="1" fieldPosition="0">
        <references count="3">
          <reference field="4294967294" count="1" selected="0">
            <x v="0"/>
          </reference>
          <reference field="2" count="1" selected="0">
            <x v="2"/>
          </reference>
          <reference field="3" count="0"/>
        </references>
      </pivotArea>
    </format>
    <format dxfId="112">
      <pivotArea collapsedLevelsAreSubtotals="1" fieldPosition="0">
        <references count="2">
          <reference field="4294967294" count="1" selected="0">
            <x v="0"/>
          </reference>
          <reference field="2" count="1" defaultSubtotal="1">
            <x v="2"/>
          </reference>
        </references>
      </pivotArea>
    </format>
    <format dxfId="111">
      <pivotArea collapsedLevelsAreSubtotals="1" fieldPosition="0">
        <references count="2">
          <reference field="4294967294" count="1" selected="0">
            <x v="0"/>
          </reference>
          <reference field="2" count="1">
            <x v="3"/>
          </reference>
        </references>
      </pivotArea>
    </format>
    <format dxfId="110">
      <pivotArea collapsedLevelsAreSubtotals="1" fieldPosition="0">
        <references count="3">
          <reference field="4294967294" count="1" selected="0">
            <x v="0"/>
          </reference>
          <reference field="2" count="1" selected="0">
            <x v="3"/>
          </reference>
          <reference field="3" count="0"/>
        </references>
      </pivotArea>
    </format>
    <format dxfId="109">
      <pivotArea collapsedLevelsAreSubtotals="1" fieldPosition="0">
        <references count="2">
          <reference field="4294967294" count="1" selected="0">
            <x v="0"/>
          </reference>
          <reference field="2" count="1" defaultSubtotal="1">
            <x v="3"/>
          </reference>
        </references>
      </pivotArea>
    </format>
    <format dxfId="108">
      <pivotArea collapsedLevelsAreSubtotals="1" fieldPosition="0">
        <references count="2">
          <reference field="4294967294" count="1" selected="0">
            <x v="0"/>
          </reference>
          <reference field="2" count="1">
            <x v="4"/>
          </reference>
        </references>
      </pivotArea>
    </format>
    <format dxfId="107">
      <pivotArea collapsedLevelsAreSubtotals="1" fieldPosition="0">
        <references count="3">
          <reference field="4294967294" count="1" selected="0">
            <x v="0"/>
          </reference>
          <reference field="2" count="1" selected="0">
            <x v="4"/>
          </reference>
          <reference field="3" count="0"/>
        </references>
      </pivotArea>
    </format>
    <format dxfId="106">
      <pivotArea collapsedLevelsAreSubtotals="1" fieldPosition="0">
        <references count="2">
          <reference field="4294967294" count="1" selected="0">
            <x v="0"/>
          </reference>
          <reference field="2" count="1" defaultSubtotal="1">
            <x v="4"/>
          </reference>
        </references>
      </pivotArea>
    </format>
    <format dxfId="105">
      <pivotArea collapsedLevelsAreSubtotals="1" fieldPosition="0">
        <references count="3">
          <reference field="4294967294" count="2" selected="0">
            <x v="1"/>
            <x v="2"/>
          </reference>
          <reference field="2" count="1" selected="0">
            <x v="0"/>
          </reference>
          <reference field="3" count="0"/>
        </references>
      </pivotArea>
    </format>
    <format dxfId="104">
      <pivotArea collapsedLevelsAreSubtotals="1" fieldPosition="0">
        <references count="2">
          <reference field="4294967294" count="2" selected="0">
            <x v="1"/>
            <x v="2"/>
          </reference>
          <reference field="2" count="1" defaultSubtotal="1">
            <x v="0"/>
          </reference>
        </references>
      </pivotArea>
    </format>
    <format dxfId="103">
      <pivotArea collapsedLevelsAreSubtotals="1" fieldPosition="0">
        <references count="2">
          <reference field="4294967294" count="2" selected="0">
            <x v="1"/>
            <x v="2"/>
          </reference>
          <reference field="2" count="1">
            <x v="1"/>
          </reference>
        </references>
      </pivotArea>
    </format>
    <format dxfId="102">
      <pivotArea collapsedLevelsAreSubtotals="1" fieldPosition="0">
        <references count="3">
          <reference field="4294967294" count="2" selected="0">
            <x v="1"/>
            <x v="2"/>
          </reference>
          <reference field="2" count="1" selected="0">
            <x v="1"/>
          </reference>
          <reference field="3" count="0"/>
        </references>
      </pivotArea>
    </format>
    <format dxfId="101">
      <pivotArea collapsedLevelsAreSubtotals="1" fieldPosition="0">
        <references count="2">
          <reference field="4294967294" count="2" selected="0">
            <x v="1"/>
            <x v="2"/>
          </reference>
          <reference field="2" count="1" defaultSubtotal="1">
            <x v="1"/>
          </reference>
        </references>
      </pivotArea>
    </format>
    <format dxfId="100">
      <pivotArea collapsedLevelsAreSubtotals="1" fieldPosition="0">
        <references count="2">
          <reference field="4294967294" count="2" selected="0">
            <x v="1"/>
            <x v="2"/>
          </reference>
          <reference field="2" count="1">
            <x v="2"/>
          </reference>
        </references>
      </pivotArea>
    </format>
    <format dxfId="99">
      <pivotArea collapsedLevelsAreSubtotals="1" fieldPosition="0">
        <references count="3">
          <reference field="4294967294" count="2" selected="0">
            <x v="1"/>
            <x v="2"/>
          </reference>
          <reference field="2" count="1" selected="0">
            <x v="2"/>
          </reference>
          <reference field="3" count="0"/>
        </references>
      </pivotArea>
    </format>
    <format dxfId="98">
      <pivotArea collapsedLevelsAreSubtotals="1" fieldPosition="0">
        <references count="2">
          <reference field="4294967294" count="2" selected="0">
            <x v="1"/>
            <x v="2"/>
          </reference>
          <reference field="2" count="1" defaultSubtotal="1">
            <x v="2"/>
          </reference>
        </references>
      </pivotArea>
    </format>
    <format dxfId="97">
      <pivotArea collapsedLevelsAreSubtotals="1" fieldPosition="0">
        <references count="2">
          <reference field="4294967294" count="2" selected="0">
            <x v="1"/>
            <x v="2"/>
          </reference>
          <reference field="2" count="1">
            <x v="3"/>
          </reference>
        </references>
      </pivotArea>
    </format>
    <format dxfId="96">
      <pivotArea collapsedLevelsAreSubtotals="1" fieldPosition="0">
        <references count="3">
          <reference field="4294967294" count="2" selected="0">
            <x v="1"/>
            <x v="2"/>
          </reference>
          <reference field="2" count="1" selected="0">
            <x v="3"/>
          </reference>
          <reference field="3" count="0"/>
        </references>
      </pivotArea>
    </format>
    <format dxfId="95">
      <pivotArea collapsedLevelsAreSubtotals="1" fieldPosition="0">
        <references count="2">
          <reference field="4294967294" count="2" selected="0">
            <x v="1"/>
            <x v="2"/>
          </reference>
          <reference field="2" count="1" defaultSubtotal="1">
            <x v="3"/>
          </reference>
        </references>
      </pivotArea>
    </format>
    <format dxfId="94">
      <pivotArea collapsedLevelsAreSubtotals="1" fieldPosition="0">
        <references count="2">
          <reference field="4294967294" count="2" selected="0">
            <x v="1"/>
            <x v="2"/>
          </reference>
          <reference field="2" count="1">
            <x v="4"/>
          </reference>
        </references>
      </pivotArea>
    </format>
    <format dxfId="93">
      <pivotArea collapsedLevelsAreSubtotals="1" fieldPosition="0">
        <references count="3">
          <reference field="4294967294" count="2" selected="0">
            <x v="1"/>
            <x v="2"/>
          </reference>
          <reference field="2" count="1" selected="0">
            <x v="4"/>
          </reference>
          <reference field="3" count="0"/>
        </references>
      </pivotArea>
    </format>
    <format dxfId="92">
      <pivotArea collapsedLevelsAreSubtotals="1" fieldPosition="0">
        <references count="2">
          <reference field="4294967294" count="2" selected="0">
            <x v="1"/>
            <x v="2"/>
          </reference>
          <reference field="2" count="1" defaultSubtotal="1">
            <x v="4"/>
          </reference>
        </references>
      </pivotArea>
    </format>
    <format dxfId="91">
      <pivotArea dataOnly="0" labelOnly="1" fieldPosition="0">
        <references count="1">
          <reference field="2" count="1">
            <x v="0"/>
          </reference>
        </references>
      </pivotArea>
    </format>
    <format dxfId="90">
      <pivotArea dataOnly="0" labelOnly="1" fieldPosition="0">
        <references count="1">
          <reference field="2" count="1">
            <x v="1"/>
          </reference>
        </references>
      </pivotArea>
    </format>
    <format dxfId="89">
      <pivotArea dataOnly="0" labelOnly="1" fieldPosition="0">
        <references count="1">
          <reference field="2" count="1">
            <x v="2"/>
          </reference>
        </references>
      </pivotArea>
    </format>
    <format dxfId="88">
      <pivotArea dataOnly="0" labelOnly="1" fieldPosition="0">
        <references count="1">
          <reference field="2" count="1">
            <x v="3"/>
          </reference>
        </references>
      </pivotArea>
    </format>
    <format dxfId="87">
      <pivotArea dataOnly="0" labelOnly="1" fieldPosition="0">
        <references count="1">
          <reference field="2" count="1">
            <x v="4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altText="Divisio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1000000}" name="PivotTable2" cacheId="0" applyNumberFormats="0" applyBorderFormats="0" applyFontFormats="0" applyPatternFormats="0" applyAlignmentFormats="0" applyWidthHeightFormats="1" dataCaption="  " updatedVersion="5" minRefreshableVersion="3" useAutoFormatting="1" rowGrandTotals="0" itemPrintTitles="1" createdVersion="5" indent="0" compact="0" compactData="0" multipleFieldFilters="0" chartFormat="1" rowHeaderCaption="Last Name">
  <location ref="A14:E16" firstHeaderRow="1" firstDataRow="1" firstDataCol="4"/>
  <pivotFields count="16">
    <pivotField axis="axisRow" compact="0" outline="0" showAll="0" measureFilter="1" defaultSubtota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</items>
    </pivotField>
    <pivotField axis="axisRow" compact="0" outline="0" showAll="0" defaultSubtotal="0">
      <items count="23">
        <item x="0"/>
        <item x="1"/>
        <item x="21"/>
        <item x="10"/>
        <item x="14"/>
        <item x="4"/>
        <item x="6"/>
        <item x="3"/>
        <item x="20"/>
        <item x="7"/>
        <item x="18"/>
        <item x="12"/>
        <item x="17"/>
        <item x="15"/>
        <item x="16"/>
        <item x="19"/>
        <item x="2"/>
        <item x="11"/>
        <item x="13"/>
        <item x="22"/>
        <item x="5"/>
        <item x="8"/>
        <item x="9"/>
      </items>
    </pivotField>
    <pivotField axis="axisRow" compact="0" outline="0" showAll="0" defaultSubtotal="0">
      <items count="5">
        <item x="3"/>
        <item x="2"/>
        <item x="1"/>
        <item x="4"/>
        <item x="0"/>
      </items>
    </pivotField>
    <pivotField axis="axisRow" compact="0" outline="0" showAll="0">
      <items count="5">
        <item h="1" x="0"/>
        <item h="1" x="2"/>
        <item h="1" x="3"/>
        <item x="1"/>
        <item t="default"/>
      </items>
    </pivotField>
    <pivotField compact="0" outline="0" showAll="0"/>
    <pivotField compact="0" outline="0" showAll="0"/>
    <pivotField compact="0" outline="0" showAll="0"/>
    <pivotField compact="0" numFmtId="164" outline="0" showAll="0"/>
    <pivotField compact="0" numFmtId="164" outline="0" showAll="0"/>
    <pivotField compact="0" numFmtId="164" outline="0" showAll="0"/>
    <pivotField compact="0" numFmtId="164" outline="0" showAll="0"/>
    <pivotField compact="0" numFmtId="164" outline="0" showAll="0"/>
    <pivotField dataField="1" compact="0" numFmtId="164" outline="0" showAll="0"/>
    <pivotField compact="0" numFmtId="164" outline="0" showAll="0"/>
    <pivotField compact="0" outline="0" showAll="0"/>
    <pivotField compact="0" numFmtId="164" outline="0" showAll="0"/>
  </pivotFields>
  <rowFields count="4">
    <field x="0"/>
    <field x="1"/>
    <field x="2"/>
    <field x="3"/>
  </rowFields>
  <rowItems count="2">
    <i>
      <x v="1"/>
      <x v="1"/>
      <x v="2"/>
      <x v="3"/>
    </i>
    <i>
      <x v="13"/>
      <x v="18"/>
      <x/>
      <x v="3"/>
    </i>
  </rowItems>
  <colItems count="1">
    <i/>
  </colItems>
  <dataFields count="1">
    <dataField name="Airfare " fld="12" baseField="3" baseItem="3" numFmtId="164"/>
  </dataFields>
  <formats count="7">
    <format dxfId="79">
      <pivotArea dataOnly="0" labelOnly="1" outline="0" fieldPosition="0">
        <references count="3">
          <reference field="0" count="1" selected="0">
            <x v="1"/>
          </reference>
          <reference field="1" count="1" selected="0">
            <x v="1"/>
          </reference>
          <reference field="2" count="1">
            <x v="2"/>
          </reference>
        </references>
      </pivotArea>
    </format>
    <format dxfId="78">
      <pivotArea dataOnly="0" labelOnly="1" outline="0" fieldPosition="0">
        <references count="3">
          <reference field="0" count="1" selected="0">
            <x v="13"/>
          </reference>
          <reference field="1" count="1" selected="0">
            <x v="18"/>
          </reference>
          <reference field="2" count="1">
            <x v="0"/>
          </reference>
        </references>
      </pivotArea>
    </format>
    <format dxfId="77">
      <pivotArea field="0" type="button" dataOnly="0" labelOnly="1" outline="0" axis="axisRow" fieldPosition="0"/>
    </format>
    <format dxfId="76">
      <pivotArea field="1" type="button" dataOnly="0" labelOnly="1" outline="0" axis="axisRow" fieldPosition="1"/>
    </format>
    <format dxfId="75">
      <pivotArea field="2" type="button" dataOnly="0" labelOnly="1" outline="0" axis="axisRow" fieldPosition="2"/>
    </format>
    <format dxfId="74">
      <pivotArea field="3" type="button" dataOnly="0" labelOnly="1" outline="0" axis="axisRow" fieldPosition="3"/>
    </format>
    <format dxfId="73">
      <pivotArea dataOnly="0" labelOnly="1" outline="0" axis="axisValues" fieldPosition="0"/>
    </format>
  </formats>
  <pivotTableStyleInfo name="PivotStyleLight16" showRowHeaders="1" showColHeaders="1" showRowStripes="0" showColStripes="0" showLastColumn="1"/>
  <filters count="1">
    <filter fld="0" type="valueGreaterThan" evalOrder="-1" id="3" iMeasureFld="0">
      <autoFilter ref="A1">
        <filterColumn colId="0">
          <customFilters>
            <customFilter operator="greaterThan" val="75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PivotTable1" cacheId="0" applyNumberFormats="0" applyBorderFormats="0" applyFontFormats="0" applyPatternFormats="0" applyAlignmentFormats="0" applyWidthHeightFormats="1" dataCaption="  " updatedVersion="5" minRefreshableVersion="3" useAutoFormatting="1" rowGrandTotals="0" itemPrintTitles="1" createdVersion="5" indent="0" compact="0" compactData="0" multipleFieldFilters="0" rowHeaderCaption="Last Name">
  <location ref="A3:E5" firstHeaderRow="1" firstDataRow="1" firstDataCol="4"/>
  <pivotFields count="16">
    <pivotField axis="axisRow" compact="0" outline="0" showAll="0" measureFilter="1" defaultSubtota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</items>
    </pivotField>
    <pivotField axis="axisRow" compact="0" outline="0" showAll="0" defaultSubtotal="0">
      <items count="23">
        <item x="0"/>
        <item x="1"/>
        <item x="21"/>
        <item x="10"/>
        <item x="14"/>
        <item x="4"/>
        <item x="6"/>
        <item x="3"/>
        <item x="20"/>
        <item x="7"/>
        <item x="18"/>
        <item x="12"/>
        <item x="17"/>
        <item x="15"/>
        <item x="16"/>
        <item x="19"/>
        <item x="2"/>
        <item x="11"/>
        <item x="13"/>
        <item x="22"/>
        <item x="5"/>
        <item x="8"/>
        <item x="9"/>
      </items>
    </pivotField>
    <pivotField axis="axisRow" compact="0" outline="0" showAll="0" defaultSubtotal="0">
      <items count="5">
        <item x="3"/>
        <item x="2"/>
        <item x="1"/>
        <item x="4"/>
        <item x="0"/>
      </items>
    </pivotField>
    <pivotField axis="axisRow" compact="0" outline="0" showAll="0">
      <items count="5">
        <item x="0"/>
        <item x="2"/>
        <item x="3"/>
        <item x="1"/>
        <item t="default"/>
      </items>
    </pivotField>
    <pivotField compact="0" outline="0" showAll="0"/>
    <pivotField compact="0" outline="0" showAll="0"/>
    <pivotField compact="0" outline="0" showAll="0"/>
    <pivotField compact="0" numFmtId="164" outline="0" showAll="0"/>
    <pivotField compact="0" numFmtId="164" outline="0" showAll="0"/>
    <pivotField compact="0" numFmtId="164" outline="0" showAll="0"/>
    <pivotField compact="0" numFmtId="164" outline="0" showAll="0"/>
    <pivotField compact="0" numFmtId="164" outline="0" showAll="0"/>
    <pivotField dataField="1" compact="0" numFmtId="164" outline="0" showAll="0"/>
    <pivotField compact="0" numFmtId="164" outline="0" showAll="0"/>
    <pivotField compact="0" outline="0" showAll="0"/>
    <pivotField compact="0" numFmtId="164" outline="0" showAll="0"/>
  </pivotFields>
  <rowFields count="4">
    <field x="0"/>
    <field x="1"/>
    <field x="2"/>
    <field x="3"/>
  </rowFields>
  <rowItems count="2">
    <i>
      <x/>
      <x/>
      <x v="4"/>
      <x/>
    </i>
    <i>
      <x v="10"/>
      <x v="3"/>
      <x v="3"/>
      <x/>
    </i>
  </rowItems>
  <colItems count="1">
    <i/>
  </colItems>
  <dataFields count="1">
    <dataField name="Airfare " fld="12" baseField="3" baseItem="0" numFmtId="164"/>
  </dataFields>
  <formats count="7">
    <format dxfId="86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0"/>
          </reference>
          <reference field="2" count="1">
            <x v="4"/>
          </reference>
        </references>
      </pivotArea>
    </format>
    <format dxfId="85">
      <pivotArea dataOnly="0" labelOnly="1" outline="0" fieldPosition="0">
        <references count="3">
          <reference field="0" count="1" selected="0">
            <x v="10"/>
          </reference>
          <reference field="1" count="1" selected="0">
            <x v="3"/>
          </reference>
          <reference field="2" count="1">
            <x v="3"/>
          </reference>
        </references>
      </pivotArea>
    </format>
    <format dxfId="84">
      <pivotArea field="0" type="button" dataOnly="0" labelOnly="1" outline="0" axis="axisRow" fieldPosition="0"/>
    </format>
    <format dxfId="83">
      <pivotArea field="1" type="button" dataOnly="0" labelOnly="1" outline="0" axis="axisRow" fieldPosition="1"/>
    </format>
    <format dxfId="82">
      <pivotArea field="2" type="button" dataOnly="0" labelOnly="1" outline="0" axis="axisRow" fieldPosition="2"/>
    </format>
    <format dxfId="81">
      <pivotArea field="3" type="button" dataOnly="0" labelOnly="1" outline="0" axis="axisRow" fieldPosition="3"/>
    </format>
    <format dxfId="80">
      <pivotArea dataOnly="0" labelOnly="1" outline="0" axis="axisValues" fieldPosition="0"/>
    </format>
  </formats>
  <pivotTableStyleInfo name="PivotStyleLight16" showRowHeaders="1" showColHeaders="1" showRowStripes="0" showColStripes="0" showLastColumn="1"/>
  <filters count="1">
    <filter fld="0" type="valueGreaterThan" evalOrder="-1" id="1" iMeasureFld="0">
      <autoFilter ref="A1">
        <filterColumn colId="0">
          <customFilters>
            <customFilter operator="greaterThan" val="170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PivotTable1" cacheId="0" applyNumberFormats="0" applyBorderFormats="0" applyFontFormats="0" applyPatternFormats="0" applyAlignmentFormats="0" applyWidthHeightFormats="1" dataCaption=" " updatedVersion="5" minRefreshableVersion="3" useAutoFormatting="1" rowGrandTotals="0" colGrandTotals="0" itemPrintTitles="1" createdVersion="5" indent="0" compact="0" compactData="0" multipleFieldFilters="0" chartFormat="1" rowHeaderCaption="Last Name">
  <location ref="A3:G4" firstHeaderRow="0" firstDataRow="1" firstDataCol="4"/>
  <pivotFields count="16">
    <pivotField axis="axisRow" compact="0" outline="0" showAll="0" measureFilter="1" defaultSubtota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</items>
    </pivotField>
    <pivotField axis="axisRow" compact="0" outline="0" showAll="0" defaultSubtotal="0">
      <items count="23">
        <item x="0"/>
        <item x="1"/>
        <item x="21"/>
        <item x="10"/>
        <item x="14"/>
        <item x="4"/>
        <item x="6"/>
        <item x="3"/>
        <item x="20"/>
        <item x="7"/>
        <item x="18"/>
        <item x="12"/>
        <item x="17"/>
        <item x="15"/>
        <item x="16"/>
        <item x="19"/>
        <item x="2"/>
        <item x="11"/>
        <item x="13"/>
        <item x="22"/>
        <item x="5"/>
        <item x="8"/>
        <item x="9"/>
      </items>
    </pivotField>
    <pivotField axis="axisRow" compact="0" outline="0" showAll="0">
      <items count="6">
        <item x="3"/>
        <item x="2"/>
        <item x="1"/>
        <item x="4"/>
        <item x="0"/>
        <item t="default"/>
      </items>
    </pivotField>
    <pivotField axis="axisRow" compact="0" outline="0" showAll="0" defaultSubtotal="0">
      <items count="4">
        <item x="0"/>
        <item x="2"/>
        <item x="3"/>
        <item x="1"/>
      </items>
    </pivotField>
    <pivotField compact="0" outline="0" showAll="0"/>
    <pivotField compact="0" outline="0" showAll="0"/>
    <pivotField compact="0" outline="0" showAll="0"/>
    <pivotField compact="0" numFmtId="164" outline="0" showAll="0"/>
    <pivotField compact="0" numFmtId="164" outline="0" showAll="0"/>
    <pivotField compact="0" numFmtId="164" outline="0" showAll="0"/>
    <pivotField compact="0" numFmtId="164" outline="0" showAll="0"/>
    <pivotField compact="0" numFmtId="164" outline="0" showAll="0"/>
    <pivotField compact="0" numFmtId="164" outline="0" showAll="0"/>
    <pivotField dataField="1" compact="0" numFmtId="164" outline="0" showAll="0"/>
    <pivotField dataField="1" compact="0" outline="0" showAll="0"/>
    <pivotField dataField="1" compact="0" numFmtId="164" outline="0" showAll="0"/>
  </pivotFields>
  <rowFields count="4">
    <field x="0"/>
    <field x="1"/>
    <field x="3"/>
    <field x="2"/>
  </rowFields>
  <rowItems count="1">
    <i>
      <x v="19"/>
      <x v="15"/>
      <x v="2"/>
      <x v="4"/>
    </i>
  </rowItems>
  <colFields count="1">
    <field x="-2"/>
  </colFields>
  <colItems count="3">
    <i>
      <x/>
    </i>
    <i i="1">
      <x v="1"/>
    </i>
    <i i="2">
      <x v="2"/>
    </i>
  </colItems>
  <dataFields count="3">
    <dataField name="Total Expenses " fld="13" baseField="2" baseItem="4" numFmtId="164"/>
    <dataField name="Overage " fld="14" baseField="2" baseItem="4"/>
    <dataField name="Overage Charge " fld="15" baseField="2" baseItem="4" numFmtId="164"/>
  </dataFields>
  <formats count="14">
    <format dxfId="72">
      <pivotArea field="2" type="button" dataOnly="0" labelOnly="1" outline="0" axis="axisRow" fieldPosition="3"/>
    </format>
    <format dxfId="71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70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69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68">
      <pivotArea field="3" type="button" dataOnly="0" labelOnly="1" outline="0" axis="axisRow" fieldPosition="2"/>
    </format>
    <format dxfId="67">
      <pivotArea field="1" type="button" dataOnly="0" labelOnly="1" outline="0" axis="axisRow" fieldPosition="1"/>
    </format>
    <format dxfId="66">
      <pivotArea field="0" type="button" dataOnly="0" labelOnly="1" outline="0" axis="axisRow" fieldPosition="0"/>
    </format>
    <format dxfId="65">
      <pivotArea dataOnly="0" labelOnly="1" outline="0" fieldPosition="0">
        <references count="3">
          <reference field="0" count="1" selected="0">
            <x v="19"/>
          </reference>
          <reference field="1" count="1" selected="0">
            <x v="15"/>
          </reference>
          <reference field="3" count="1">
            <x v="2"/>
          </reference>
        </references>
      </pivotArea>
    </format>
    <format dxfId="64">
      <pivotArea dataOnly="0" labelOnly="1" outline="0" fieldPosition="0">
        <references count="4">
          <reference field="0" count="1" selected="0">
            <x v="19"/>
          </reference>
          <reference field="1" count="1" selected="0">
            <x v="15"/>
          </reference>
          <reference field="2" count="1">
            <x v="4"/>
          </reference>
          <reference field="3" count="1" selected="0">
            <x v="2"/>
          </reference>
        </references>
      </pivotArea>
    </format>
    <format dxfId="63">
      <pivotArea field="0" type="button" dataOnly="0" labelOnly="1" outline="0" axis="axisRow" fieldPosition="0"/>
    </format>
    <format dxfId="62">
      <pivotArea field="1" type="button" dataOnly="0" labelOnly="1" outline="0" axis="axisRow" fieldPosition="1"/>
    </format>
    <format dxfId="61">
      <pivotArea field="3" type="button" dataOnly="0" labelOnly="1" outline="0" axis="axisRow" fieldPosition="2"/>
    </format>
    <format dxfId="60">
      <pivotArea field="2" type="button" dataOnly="0" labelOnly="1" outline="0" axis="axisRow" fieldPosition="3"/>
    </format>
    <format dxfId="5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pivotTableStyleInfo name="PivotStyleLight16" showRowHeaders="1" showColHeaders="1" showRowStripes="0" showColStripes="0" showLastColumn="1"/>
  <filters count="1">
    <filter fld="0" type="valueEqual" evalOrder="-1" id="1" iMeasureFld="0">
      <autoFilter ref="A1">
        <filterColumn colId="0">
          <customFilters>
            <customFilter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0000000}" name="PivotTable1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rowHeaderCaption="Position">
  <location ref="A3:C8" firstHeaderRow="0" firstDataRow="1" firstDataCol="1"/>
  <pivotFields count="16">
    <pivotField showAll="0"/>
    <pivotField showAll="0"/>
    <pivotField showAll="0"/>
    <pivotField axis="axisRow" showAll="0">
      <items count="5">
        <item x="0"/>
        <item x="2"/>
        <item x="3"/>
        <item x="1"/>
        <item t="default"/>
      </items>
    </pivotField>
    <pivotField showAll="0"/>
    <pivotField showAll="0"/>
    <pivotField showAll="0"/>
    <pivotField numFmtId="164" showAll="0"/>
    <pivotField numFmtId="164" showAll="0"/>
    <pivotField numFmtId="164" showAll="0"/>
    <pivotField dataField="1" numFmtId="164" showAll="0"/>
    <pivotField numFmtId="164" showAll="0"/>
    <pivotField dataField="1" numFmtId="164" showAll="0"/>
    <pivotField numFmtId="164" showAll="0"/>
    <pivotField showAll="0"/>
    <pivotField numFmtId="164" showAll="0"/>
  </pivotFields>
  <rowFields count="1">
    <field x="3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2">
    <i>
      <x/>
    </i>
    <i i="1">
      <x v="1"/>
    </i>
  </colItems>
  <dataFields count="2">
    <dataField name="Hotel " fld="10" baseField="3" baseItem="0"/>
    <dataField name="Airfare " fld="12" baseField="3" baseItem="0"/>
  </dataFields>
  <formats count="7">
    <format dxfId="58">
      <pivotArea outline="0" collapsedLevelsAreSubtotals="1" fieldPosition="0"/>
    </format>
    <format dxfId="57">
      <pivotArea field="3" type="button" dataOnly="0" labelOnly="1" outline="0" axis="axisRow" fieldPosition="0"/>
    </format>
    <format dxfId="56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55">
      <pivotArea field="3" type="button" dataOnly="0" labelOnly="1" outline="0" axis="axisRow" fieldPosition="0"/>
    </format>
    <format dxfId="5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53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52">
      <pivotArea dataOnly="0" labelOnly="1" outline="0" fieldPosition="0">
        <references count="1">
          <reference field="4294967294" count="1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0000000}" name="PivotTable2" cacheId="0" applyNumberFormats="0" applyBorderFormats="0" applyFontFormats="0" applyPatternFormats="0" applyAlignmentFormats="0" applyWidthHeightFormats="1" dataCaption="Values" updatedVersion="5" minRefreshableVersion="3" useAutoFormatting="1" rowGrandTotals="0" itemPrintTitles="1" createdVersion="5" indent="0" compact="0" compactData="0" multipleFieldFilters="0">
  <location ref="A3:E8" firstHeaderRow="1" firstDataRow="1" firstDataCol="4"/>
  <pivotFields count="16">
    <pivotField axis="axisRow" compact="0" outline="0" showAll="0" defaultSubtota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</items>
    </pivotField>
    <pivotField axis="axisRow" compact="0" outline="0" showAll="0" defaultSubtotal="0">
      <items count="23">
        <item x="0"/>
        <item x="1"/>
        <item x="21"/>
        <item x="10"/>
        <item x="14"/>
        <item x="4"/>
        <item x="6"/>
        <item x="3"/>
        <item x="20"/>
        <item x="7"/>
        <item x="18"/>
        <item x="12"/>
        <item x="17"/>
        <item x="15"/>
        <item x="16"/>
        <item x="19"/>
        <item x="2"/>
        <item x="11"/>
        <item x="13"/>
        <item x="22"/>
        <item x="5"/>
        <item x="8"/>
        <item x="9"/>
      </items>
    </pivotField>
    <pivotField axis="axisRow" compact="0" outline="0" showAll="0" defaultSubtotal="0">
      <items count="5">
        <item x="3"/>
        <item x="2"/>
        <item x="1"/>
        <item x="4"/>
        <item x="0"/>
      </items>
    </pivotField>
    <pivotField axis="axisRow" compact="0" outline="0" showAll="0">
      <items count="5">
        <item x="0"/>
        <item h="1" x="2"/>
        <item h="1" x="3"/>
        <item h="1" x="1"/>
        <item t="default"/>
      </items>
    </pivotField>
    <pivotField compact="0" outline="0" showAll="0"/>
    <pivotField compact="0" outline="0" showAll="0"/>
    <pivotField compact="0" outline="0" showAll="0"/>
    <pivotField compact="0" numFmtId="164" outline="0" showAll="0"/>
    <pivotField compact="0" numFmtId="164" outline="0" showAll="0"/>
    <pivotField compact="0" numFmtId="164" outline="0" showAll="0"/>
    <pivotField compact="0" numFmtId="164" outline="0" showAll="0"/>
    <pivotField compact="0" numFmtId="164" outline="0" showAll="0"/>
    <pivotField dataField="1" compact="0" numFmtId="164" outline="0" showAll="0"/>
    <pivotField compact="0" numFmtId="164" outline="0" showAll="0"/>
    <pivotField compact="0" outline="0" showAll="0"/>
    <pivotField compact="0" numFmtId="164" outline="0" showAll="0"/>
  </pivotFields>
  <rowFields count="4">
    <field x="0"/>
    <field x="1"/>
    <field x="2"/>
    <field x="3"/>
  </rowFields>
  <rowItems count="5">
    <i>
      <x/>
      <x/>
      <x v="4"/>
      <x/>
    </i>
    <i>
      <x v="3"/>
      <x v="7"/>
      <x/>
      <x/>
    </i>
    <i>
      <x v="10"/>
      <x v="3"/>
      <x v="3"/>
      <x/>
    </i>
    <i>
      <x v="17"/>
      <x v="12"/>
      <x v="1"/>
      <x/>
    </i>
    <i>
      <x v="21"/>
      <x v="2"/>
      <x v="2"/>
      <x/>
    </i>
  </rowItems>
  <colItems count="1">
    <i/>
  </colItems>
  <dataFields count="1">
    <dataField name="Airfare " fld="12" baseField="3" baseItem="0" numFmtId="44"/>
  </dataFields>
  <formats count="12">
    <format dxfId="51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0"/>
          </reference>
          <reference field="2" count="1">
            <x v="4"/>
          </reference>
        </references>
      </pivotArea>
    </format>
    <format dxfId="50">
      <pivotArea dataOnly="0" labelOnly="1" outline="0" fieldPosition="0">
        <references count="3">
          <reference field="0" count="1" selected="0">
            <x v="3"/>
          </reference>
          <reference field="1" count="1" selected="0">
            <x v="7"/>
          </reference>
          <reference field="2" count="1">
            <x v="0"/>
          </reference>
        </references>
      </pivotArea>
    </format>
    <format dxfId="49">
      <pivotArea dataOnly="0" labelOnly="1" outline="0" fieldPosition="0">
        <references count="3">
          <reference field="0" count="1" selected="0">
            <x v="10"/>
          </reference>
          <reference field="1" count="1" selected="0">
            <x v="3"/>
          </reference>
          <reference field="2" count="1">
            <x v="3"/>
          </reference>
        </references>
      </pivotArea>
    </format>
    <format dxfId="48">
      <pivotArea dataOnly="0" labelOnly="1" outline="0" fieldPosition="0">
        <references count="3">
          <reference field="0" count="1" selected="0">
            <x v="17"/>
          </reference>
          <reference field="1" count="1" selected="0">
            <x v="12"/>
          </reference>
          <reference field="2" count="1">
            <x v="1"/>
          </reference>
        </references>
      </pivotArea>
    </format>
    <format dxfId="47">
      <pivotArea dataOnly="0" labelOnly="1" outline="0" fieldPosition="0">
        <references count="3">
          <reference field="0" count="1" selected="0">
            <x v="21"/>
          </reference>
          <reference field="1" count="1" selected="0">
            <x v="2"/>
          </reference>
          <reference field="2" count="1">
            <x v="2"/>
          </reference>
        </references>
      </pivotArea>
    </format>
    <format dxfId="46">
      <pivotArea outline="0" fieldPosition="0">
        <references count="1">
          <reference field="4294967294" count="1">
            <x v="0"/>
          </reference>
        </references>
      </pivotArea>
    </format>
    <format dxfId="45">
      <pivotArea outline="0" collapsedLevelsAreSubtotals="1" fieldPosition="0"/>
    </format>
    <format dxfId="44">
      <pivotArea field="0" type="button" dataOnly="0" labelOnly="1" outline="0" axis="axisRow" fieldPosition="0"/>
    </format>
    <format dxfId="43">
      <pivotArea field="1" type="button" dataOnly="0" labelOnly="1" outline="0" axis="axisRow" fieldPosition="1"/>
    </format>
    <format dxfId="42">
      <pivotArea field="2" type="button" dataOnly="0" labelOnly="1" outline="0" axis="axisRow" fieldPosition="2"/>
    </format>
    <format dxfId="41">
      <pivotArea field="3" type="button" dataOnly="0" labelOnly="1" outline="0" axis="axisRow" fieldPosition="3"/>
    </format>
    <format dxfId="40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0000000}" name="PivotTable3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compact="0" compactData="0" multipleFieldFilters="0">
  <location ref="A3:F10" firstHeaderRow="1" firstDataRow="2" firstDataCol="1"/>
  <pivotFields count="16">
    <pivotField compact="0" outline="0" showAll="0"/>
    <pivotField compact="0" outline="0" showAll="0"/>
    <pivotField axis="axisRow" compact="0" outline="0" showAll="0" defaultSubtotal="0">
      <items count="5">
        <item x="3"/>
        <item x="2"/>
        <item x="1"/>
        <item x="4"/>
        <item x="0"/>
      </items>
    </pivotField>
    <pivotField axis="axisCol" dataField="1" compact="0" outline="0" showAll="0">
      <items count="5">
        <item x="0"/>
        <item x="2"/>
        <item x="3"/>
        <item x="1"/>
        <item t="default"/>
      </items>
    </pivotField>
    <pivotField compact="0" outline="0" showAll="0"/>
    <pivotField compact="0" outline="0" showAll="0"/>
    <pivotField compact="0" outline="0" showAll="0"/>
    <pivotField compact="0" numFmtId="164" outline="0" showAll="0"/>
    <pivotField compact="0" numFmtId="164" outline="0" showAll="0"/>
    <pivotField compact="0" numFmtId="164" outline="0" showAll="0"/>
    <pivotField compact="0" numFmtId="164" outline="0" showAll="0"/>
    <pivotField compact="0" numFmtId="164" outline="0" showAll="0"/>
    <pivotField compact="0" numFmtId="164" outline="0" showAll="0"/>
    <pivotField compact="0" numFmtId="164" outline="0" showAll="0"/>
    <pivotField compact="0" outline="0" showAll="0"/>
    <pivotField compact="0" numFmtId="164" outline="0" showAll="0"/>
  </pivotFields>
  <rowFields count="1">
    <field x="2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3"/>
  </colFields>
  <colItems count="5">
    <i>
      <x/>
    </i>
    <i>
      <x v="1"/>
    </i>
    <i>
      <x v="2"/>
    </i>
    <i>
      <x v="3"/>
    </i>
    <i t="grand">
      <x/>
    </i>
  </colItems>
  <dataFields count="1">
    <dataField name="Count of Position" fld="3" subtotal="count" baseField="0" baseItem="0"/>
  </dataFields>
  <formats count="3">
    <format dxfId="39">
      <pivotArea dataOnly="0" labelOnly="1" outline="0" fieldPosition="0">
        <references count="1">
          <reference field="3" count="0"/>
        </references>
      </pivotArea>
    </format>
    <format dxfId="38">
      <pivotArea dataOnly="0" labelOnly="1" grandCol="1" outline="0" fieldPosition="0"/>
    </format>
    <format dxfId="37">
      <pivotArea dataOnly="0" labelOnly="1" outline="0" fieldPosition="0">
        <references count="1">
          <reference field="2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0000000}" name="PivotTable4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rowHeaderCaption="Division">
  <location ref="A3:B9" firstHeaderRow="1" firstDataRow="1" firstDataCol="1"/>
  <pivotFields count="16">
    <pivotField showAll="0"/>
    <pivotField showAll="0"/>
    <pivotField axis="axisRow" showAll="0" sortType="ascending">
      <items count="6">
        <item x="3"/>
        <item x="2"/>
        <item x="1"/>
        <item x="4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dataField="1" numFmtId="164" showAll="0"/>
    <pivotField showAll="0"/>
    <pivotField numFmtId="164" showAll="0"/>
  </pivotFields>
  <rowFields count="1">
    <field x="2"/>
  </rowFields>
  <rowItems count="6">
    <i>
      <x v="2"/>
    </i>
    <i>
      <x/>
    </i>
    <i>
      <x v="1"/>
    </i>
    <i>
      <x v="4"/>
    </i>
    <i>
      <x v="3"/>
    </i>
    <i t="grand">
      <x/>
    </i>
  </rowItems>
  <colItems count="1">
    <i/>
  </colItems>
  <dataFields count="1">
    <dataField name="Sum of Total Expenses" fld="13" baseField="0" baseItem="0"/>
  </dataFields>
  <formats count="5">
    <format dxfId="36">
      <pivotArea collapsedLevelsAreSubtotals="1" fieldPosition="0">
        <references count="1">
          <reference field="2" count="0"/>
        </references>
      </pivotArea>
    </format>
    <format dxfId="35">
      <pivotArea field="2" type="button" dataOnly="0" labelOnly="1" outline="0" axis="axisRow" fieldPosition="0"/>
    </format>
    <format dxfId="34">
      <pivotArea dataOnly="0" labelOnly="1" outline="0" axis="axisValues" fieldPosition="0"/>
    </format>
    <format dxfId="33">
      <pivotArea dataOnly="0" fieldPosition="0">
        <references count="1">
          <reference field="2" count="1">
            <x v="2"/>
          </reference>
        </references>
      </pivotArea>
    </format>
    <format dxfId="32">
      <pivotArea grandRow="1"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0000000}" name="PivotTable5" cacheId="0" applyNumberFormats="0" applyBorderFormats="0" applyFontFormats="0" applyPatternFormats="0" applyAlignmentFormats="0" applyWidthHeightFormats="1" dataCaption="Values" updatedVersion="5" minRefreshableVersion="3" useAutoFormatting="1" rowGrandTotals="0" itemPrintTitles="1" createdVersion="5" indent="0" outline="1" outlineData="1" multipleFieldFilters="0" rowHeaderCaption="Name">
  <location ref="A7:D9" firstHeaderRow="0" firstDataRow="1" firstDataCol="1" rowPageCount="1" colPageCount="1"/>
  <pivotFields count="16">
    <pivotField axis="axisRow" showAll="0" measureFilter="1" defaultSubtota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</items>
    </pivotField>
    <pivotField axis="axisRow" showAll="0" measureFilter="1">
      <items count="24">
        <item x="0"/>
        <item x="1"/>
        <item x="21"/>
        <item x="10"/>
        <item x="14"/>
        <item x="4"/>
        <item x="6"/>
        <item x="3"/>
        <item x="20"/>
        <item x="7"/>
        <item x="18"/>
        <item x="12"/>
        <item x="17"/>
        <item x="15"/>
        <item x="16"/>
        <item x="19"/>
        <item x="2"/>
        <item x="11"/>
        <item x="13"/>
        <item x="22"/>
        <item x="5"/>
        <item x="8"/>
        <item x="9"/>
        <item t="default"/>
      </items>
    </pivotField>
    <pivotField dataField="1" showAll="0"/>
    <pivotField axis="axisPage" showAll="0">
      <items count="5">
        <item x="0"/>
        <item x="2"/>
        <item x="3"/>
        <item x="1"/>
        <item t="default"/>
      </items>
    </pivotField>
    <pivotField showAll="0"/>
    <pivotField showAll="0"/>
    <pivotField showAll="0"/>
    <pivotField numFmtId="164" showAll="0"/>
    <pivotField numFmtId="164" showAll="0"/>
    <pivotField numFmtId="164" showAll="0"/>
    <pivotField dataField="1" numFmtId="164" showAll="0"/>
    <pivotField numFmtId="164" showAll="0"/>
    <pivotField dataField="1" numFmtId="164" showAll="0"/>
    <pivotField numFmtId="164" showAll="0"/>
    <pivotField showAll="0"/>
    <pivotField numFmtId="164" showAll="0"/>
  </pivotFields>
  <rowFields count="2">
    <field x="0"/>
    <field x="1"/>
  </rowFields>
  <rowItems count="2">
    <i>
      <x v="18"/>
    </i>
    <i r="1">
      <x v="10"/>
    </i>
  </rowItems>
  <colFields count="1">
    <field x="-2"/>
  </colFields>
  <colItems count="3">
    <i>
      <x/>
    </i>
    <i i="1">
      <x v="1"/>
    </i>
    <i i="2">
      <x v="2"/>
    </i>
  </colItems>
  <pageFields count="1">
    <pageField fld="3" item="1" hier="-1"/>
  </pageFields>
  <dataFields count="3">
    <dataField name="Division  " fld="2" baseField="1" baseItem="0"/>
    <dataField name="Hotel " fld="10" baseField="1" baseItem="0"/>
    <dataField name="Airfare  " fld="12" baseField="1" baseItem="0"/>
  </dataFields>
  <formats count="3">
    <format dxfId="31">
      <pivotArea collapsedLevelsAreSubtotals="1" fieldPosition="0">
        <references count="3">
          <reference field="4294967294" count="2" selected="0">
            <x v="1"/>
            <x v="2"/>
          </reference>
          <reference field="0" count="1" selected="0">
            <x v="18"/>
          </reference>
          <reference field="1" count="1">
            <x v="10"/>
          </reference>
        </references>
      </pivotArea>
    </format>
    <format dxfId="30">
      <pivotArea field="0" type="button" dataOnly="0" labelOnly="1" outline="0" axis="axisRow" fieldPosition="0"/>
    </format>
    <format dxfId="2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pivotTableStyleInfo name="PivotStyleLight16" showRowHeaders="1" showColHeaders="1" showRowStripes="0" showColStripes="0" showLastColumn="1"/>
  <filters count="2">
    <filter fld="1" type="valueGreaterThan" evalOrder="-1" id="4" iMeasureFld="2">
      <autoFilter ref="A1">
        <filterColumn colId="0">
          <customFilters>
            <customFilter operator="greaterThan" val="0"/>
          </customFilters>
        </filterColumn>
      </autoFilter>
    </filter>
    <filter fld="0" type="valueGreaterThan" evalOrder="-1" id="5" iMeasureFld="2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0000000}" name="PivotTable6" cacheId="0" applyNumberFormats="0" applyBorderFormats="0" applyFontFormats="0" applyPatternFormats="0" applyAlignmentFormats="0" applyWidthHeightFormats="1" dataCaption="Values" updatedVersion="5" minRefreshableVersion="3" useAutoFormatting="1" rowGrandTotals="0" itemPrintTitles="1" createdVersion="5" indent="0" outline="1" outlineData="1" multipleFieldFilters="0" rowHeaderCaption="Name">
  <location ref="A3:C29" firstHeaderRow="0" firstDataRow="1" firstDataCol="1"/>
  <pivotFields count="16">
    <pivotField axis="axisRow" showAll="0" measureFilter="1" defaultSubtota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</items>
    </pivotField>
    <pivotField axis="axisRow" showAll="0">
      <items count="24">
        <item x="0"/>
        <item x="1"/>
        <item x="21"/>
        <item x="10"/>
        <item x="14"/>
        <item x="4"/>
        <item x="6"/>
        <item x="3"/>
        <item x="20"/>
        <item x="7"/>
        <item x="18"/>
        <item x="12"/>
        <item x="17"/>
        <item x="15"/>
        <item x="16"/>
        <item x="19"/>
        <item x="2"/>
        <item x="11"/>
        <item x="13"/>
        <item x="22"/>
        <item x="5"/>
        <item x="8"/>
        <item x="9"/>
        <item t="default"/>
      </items>
    </pivotField>
    <pivotField dataField="1" showAll="0"/>
    <pivotField showAll="0"/>
    <pivotField showAll="0"/>
    <pivotField showAll="0"/>
    <pivotField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dataField="1" showAll="0"/>
    <pivotField numFmtId="164" showAll="0"/>
  </pivotFields>
  <rowFields count="2">
    <field x="0"/>
    <field x="1"/>
  </rowFields>
  <rowItems count="26">
    <i>
      <x v="1"/>
    </i>
    <i r="1">
      <x v="1"/>
    </i>
    <i>
      <x v="2"/>
    </i>
    <i r="1">
      <x v="16"/>
    </i>
    <i>
      <x v="4"/>
    </i>
    <i r="1">
      <x v="5"/>
    </i>
    <i>
      <x v="5"/>
    </i>
    <i r="1">
      <x v="20"/>
    </i>
    <i>
      <x v="8"/>
    </i>
    <i r="1">
      <x v="21"/>
    </i>
    <i>
      <x v="10"/>
    </i>
    <i r="1">
      <x v="3"/>
    </i>
    <i>
      <x v="11"/>
    </i>
    <i r="1">
      <x v="17"/>
    </i>
    <i>
      <x v="13"/>
    </i>
    <i r="1">
      <x v="18"/>
    </i>
    <i>
      <x v="15"/>
    </i>
    <i r="1">
      <x v="13"/>
    </i>
    <i>
      <x v="16"/>
    </i>
    <i r="1">
      <x v="14"/>
    </i>
    <i>
      <x v="17"/>
    </i>
    <i r="1">
      <x v="12"/>
    </i>
    <i>
      <x v="18"/>
    </i>
    <i r="1">
      <x v="10"/>
    </i>
    <i>
      <x v="20"/>
    </i>
    <i r="1">
      <x v="8"/>
    </i>
  </rowItems>
  <colFields count="1">
    <field x="-2"/>
  </colFields>
  <colItems count="2">
    <i>
      <x/>
    </i>
    <i i="1">
      <x v="1"/>
    </i>
  </colItems>
  <dataFields count="2">
    <dataField name="Division  " fld="2" baseField="0" baseItem="0"/>
    <dataField name="Miles over limit" fld="14" baseField="0" baseItem="0"/>
  </dataFields>
  <formats count="2">
    <format dxfId="28">
      <pivotArea field="0" type="button" dataOnly="0" labelOnly="1" outline="0" axis="axisRow" fieldPosition="0"/>
    </format>
    <format dxfId="27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TableStyleInfo name="PivotStyleLight16" showRowHeaders="1" showColHeaders="1" showRowStripes="0" showColStripes="0" showLastColumn="1"/>
  <filters count="1">
    <filter fld="0" type="valueGreaterThan" evalOrder="-1" id="1" iMeasureFld="1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0000000}" name="PivotTable7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rowHeaderCaption="Employee">
  <location ref="A5:H10" firstHeaderRow="0" firstDataRow="1" firstDataCol="1" rowPageCount="1" colPageCount="1"/>
  <pivotFields count="16">
    <pivotField axis="axisRow" showAll="0">
      <items count="2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t="default"/>
      </items>
    </pivotField>
    <pivotField showAll="0">
      <items count="24">
        <item x="0"/>
        <item x="1"/>
        <item x="21"/>
        <item x="10"/>
        <item x="14"/>
        <item x="4"/>
        <item x="6"/>
        <item x="3"/>
        <item x="20"/>
        <item x="7"/>
        <item x="18"/>
        <item x="12"/>
        <item x="17"/>
        <item x="15"/>
        <item x="16"/>
        <item x="19"/>
        <item x="2"/>
        <item x="11"/>
        <item x="13"/>
        <item x="22"/>
        <item x="5"/>
        <item x="8"/>
        <item x="9"/>
        <item t="default"/>
      </items>
    </pivotField>
    <pivotField axis="axisPage" showAll="0">
      <items count="6">
        <item x="3"/>
        <item x="2"/>
        <item x="1"/>
        <item x="4"/>
        <item x="0"/>
        <item t="default"/>
      </items>
    </pivotField>
    <pivotField showAll="0"/>
    <pivotField showAll="0"/>
    <pivotField showAll="0"/>
    <pivotField showAll="0"/>
    <pivotField dataField="1" numFmtId="164" showAll="0"/>
    <pivotField dataField="1" numFmtId="164" showAll="0"/>
    <pivotField dataField="1" numFmtId="164" showAll="0"/>
    <pivotField dataField="1" numFmtId="164" showAll="0"/>
    <pivotField dataField="1" numFmtId="164" showAll="0"/>
    <pivotField dataField="1" numFmtId="164" showAll="0"/>
    <pivotField dataField="1" numFmtId="164" showAll="0"/>
    <pivotField showAll="0"/>
    <pivotField numFmtId="164" showAll="0"/>
  </pivotFields>
  <rowFields count="1">
    <field x="0"/>
  </rowFields>
  <rowItems count="5">
    <i>
      <x v="2"/>
    </i>
    <i>
      <x v="5"/>
    </i>
    <i>
      <x v="11"/>
    </i>
    <i>
      <x v="17"/>
    </i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pageFields count="1">
    <pageField fld="2" item="1" hier="-1"/>
  </pageFields>
  <dataFields count="7">
    <dataField name="Meals Expense " fld="7" baseField="0" baseItem="2"/>
    <dataField name="Phone Expense" fld="8" baseField="0" baseItem="2"/>
    <dataField name="Gas Expense" fld="9" baseField="0" baseItem="2"/>
    <dataField name="Hotel Expense" fld="10" baseField="0" baseItem="2"/>
    <dataField name="Misc Expense" fld="11" baseField="0" baseItem="2"/>
    <dataField name="Airfare Expense" fld="12" baseField="0" baseItem="2"/>
    <dataField name="Total Expenses " fld="13" baseField="0" baseItem="2"/>
  </dataFields>
  <formats count="10">
    <format dxfId="26">
      <pivotArea collapsedLevelsAreSubtotals="1" fieldPosition="0">
        <references count="2">
          <reference field="4294967294" count="1" selected="0">
            <x v="5"/>
          </reference>
          <reference field="0" count="4">
            <x v="2"/>
            <x v="5"/>
            <x v="11"/>
            <x v="17"/>
          </reference>
        </references>
      </pivotArea>
    </format>
    <format dxfId="25">
      <pivotArea collapsedLevelsAreSubtotals="1" fieldPosition="0">
        <references count="2">
          <reference field="4294967294" count="1" selected="0">
            <x v="6"/>
          </reference>
          <reference field="0" count="4">
            <x v="2"/>
            <x v="5"/>
            <x v="11"/>
            <x v="17"/>
          </reference>
        </references>
      </pivotArea>
    </format>
    <format dxfId="24">
      <pivotArea collapsedLevelsAreSubtotals="1" fieldPosition="0">
        <references count="2">
          <reference field="4294967294" count="4" selected="0">
            <x v="0"/>
            <x v="1"/>
            <x v="2"/>
            <x v="3"/>
          </reference>
          <reference field="0" count="4">
            <x v="2"/>
            <x v="5"/>
            <x v="11"/>
            <x v="17"/>
          </reference>
        </references>
      </pivotArea>
    </format>
    <format dxfId="23">
      <pivotArea grandRow="1" outline="0" collapsedLevelsAreSubtotals="1" fieldPosition="0"/>
    </format>
    <format dxfId="22">
      <pivotArea field="0" type="button" dataOnly="0" labelOnly="1" outline="0" axis="axisRow" fieldPosition="0"/>
    </format>
    <format dxfId="21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0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19">
      <pivotArea dataOnly="0" labelOnly="1" outline="0" fieldPosition="0">
        <references count="1">
          <reference field="4294967294" count="5">
            <x v="2"/>
            <x v="3"/>
            <x v="4"/>
            <x v="5"/>
            <x v="6"/>
          </reference>
        </references>
      </pivotArea>
    </format>
    <format dxfId="18">
      <pivotArea collapsedLevelsAreSubtotals="1" fieldPosition="0">
        <references count="2">
          <reference field="4294967294" count="1" selected="0">
            <x v="4"/>
          </reference>
          <reference field="0" count="4">
            <x v="2"/>
            <x v="5"/>
            <x v="11"/>
            <x v="17"/>
          </reference>
        </references>
      </pivotArea>
    </format>
    <format dxfId="17">
      <pivotArea collapsedLevelsAreSubtotals="1" fieldPosition="0">
        <references count="1">
          <reference field="0" count="4">
            <x v="3"/>
            <x v="13"/>
            <x v="15"/>
            <x v="2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E00-000000000000}" name="PivotTable8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chartFormat="15" rowHeaderCaption="Division">
  <location ref="A3:E9" firstHeaderRow="0" firstDataRow="1" firstDataCol="1"/>
  <pivotFields count="16">
    <pivotField showAll="0"/>
    <pivotField showAll="0"/>
    <pivotField axis="axisRow" showAll="0">
      <items count="6">
        <item x="3"/>
        <item x="2"/>
        <item x="1"/>
        <item x="4"/>
        <item x="0"/>
        <item t="default"/>
      </items>
    </pivotField>
    <pivotField showAll="0"/>
    <pivotField showAll="0"/>
    <pivotField showAll="0"/>
    <pivotField showAll="0"/>
    <pivotField dataField="1" numFmtId="164" showAll="0"/>
    <pivotField numFmtId="164" showAll="0"/>
    <pivotField dataField="1" numFmtId="164" showAll="0"/>
    <pivotField dataField="1" numFmtId="164" showAll="0"/>
    <pivotField numFmtId="164" showAll="0"/>
    <pivotField dataField="1" numFmtId="164" showAll="0"/>
    <pivotField numFmtId="164" showAll="0"/>
    <pivotField showAll="0"/>
    <pivotField numFmtId="164" showAll="0"/>
  </pivotFields>
  <rowFields count="1">
    <field x="2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Gas Expense" fld="9" baseField="2" baseItem="0"/>
    <dataField name="Hotel Expense" fld="10" baseField="2" baseItem="0"/>
    <dataField name="Airfare Expense" fld="12" baseField="2" baseItem="0"/>
    <dataField name="Meals Expense" fld="7" baseField="2" baseItem="0"/>
  </dataFields>
  <formats count="5">
    <format dxfId="16">
      <pivotArea field="2" type="button" dataOnly="0" labelOnly="1" outline="0" axis="axisRow" fieldPosition="0"/>
    </format>
    <format dxfId="15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14">
      <pivotArea collapsedLevelsAreSubtotals="1" fieldPosition="0">
        <references count="1">
          <reference field="2" count="0"/>
        </references>
      </pivotArea>
    </format>
    <format dxfId="13">
      <pivotArea grandRow="1" outline="0" collapsedLevelsAreSubtotals="1" fieldPosition="0"/>
    </format>
    <format dxfId="12">
      <pivotArea dataOnly="0" labelOnly="1" fieldPosition="0">
        <references count="1">
          <reference field="2" count="0"/>
        </references>
      </pivotArea>
    </format>
  </formats>
  <chartFormats count="4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1"/>
          </reference>
          <reference field="2" count="1" selected="0">
            <x v="1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3"/>
          </reference>
          <reference field="2" count="1" selected="0">
            <x v="0"/>
          </reference>
        </references>
      </pivotArea>
    </chartFormat>
    <chartFormat chart="0" format="8">
      <pivotArea type="data" outline="0" fieldPosition="0">
        <references count="2">
          <reference field="4294967294" count="1" selected="0">
            <x v="3"/>
          </reference>
          <reference field="2" count="1" selected="0">
            <x v="1"/>
          </reference>
        </references>
      </pivotArea>
    </chartFormat>
    <chartFormat chart="0" format="9">
      <pivotArea type="data" outline="0" fieldPosition="0">
        <references count="2">
          <reference field="4294967294" count="1" selected="0">
            <x v="3"/>
          </reference>
          <reference field="2" count="1" selected="0">
            <x v="2"/>
          </reference>
        </references>
      </pivotArea>
    </chartFormat>
    <chartFormat chart="0" format="10">
      <pivotArea type="data" outline="0" fieldPosition="0">
        <references count="2">
          <reference field="4294967294" count="1" selected="0">
            <x v="1"/>
          </reference>
          <reference field="2" count="1" selected="0">
            <x v="0"/>
          </reference>
        </references>
      </pivotArea>
    </chartFormat>
    <chartFormat chart="0" format="11">
      <pivotArea type="data" outline="0" fieldPosition="0">
        <references count="2">
          <reference field="4294967294" count="1" selected="0">
            <x v="3"/>
          </reference>
          <reference field="2" count="1" selected="0">
            <x v="3"/>
          </reference>
        </references>
      </pivotArea>
    </chartFormat>
    <chartFormat chart="0" format="12">
      <pivotArea type="data" outline="0" fieldPosition="0">
        <references count="2">
          <reference field="4294967294" count="1" selected="0">
            <x v="1"/>
          </reference>
          <reference field="2" count="1" selected="0">
            <x v="4"/>
          </reference>
        </references>
      </pivotArea>
    </chartFormat>
    <chartFormat chart="0" format="13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14">
      <pivotArea type="data" outline="0" fieldPosition="0">
        <references count="2">
          <reference field="4294967294" count="1" selected="0">
            <x v="3"/>
          </reference>
          <reference field="2" count="1" selected="0">
            <x v="4"/>
          </reference>
        </references>
      </pivotArea>
    </chartFormat>
    <chartFormat chart="9" format="1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16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9" format="17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9" format="18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9" format="1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9" format="20">
      <pivotArea type="data" outline="0" fieldPosition="0">
        <references count="2">
          <reference field="4294967294" count="1" selected="0">
            <x v="1"/>
          </reference>
          <reference field="2" count="1" selected="0">
            <x v="0"/>
          </reference>
        </references>
      </pivotArea>
    </chartFormat>
    <chartFormat chart="9" format="21">
      <pivotArea type="data" outline="0" fieldPosition="0">
        <references count="2">
          <reference field="4294967294" count="1" selected="0">
            <x v="1"/>
          </reference>
          <reference field="2" count="1" selected="0">
            <x v="1"/>
          </reference>
        </references>
      </pivotArea>
    </chartFormat>
    <chartFormat chart="9" format="22">
      <pivotArea type="data" outline="0" fieldPosition="0">
        <references count="2">
          <reference field="4294967294" count="1" selected="0">
            <x v="1"/>
          </reference>
          <reference field="2" count="1" selected="0">
            <x v="4"/>
          </reference>
        </references>
      </pivotArea>
    </chartFormat>
    <chartFormat chart="9" format="23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9" format="24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9" format="25">
      <pivotArea type="data" outline="0" fieldPosition="0">
        <references count="2">
          <reference field="4294967294" count="1" selected="0">
            <x v="3"/>
          </reference>
          <reference field="2" count="1" selected="0">
            <x v="0"/>
          </reference>
        </references>
      </pivotArea>
    </chartFormat>
    <chartFormat chart="9" format="26">
      <pivotArea type="data" outline="0" fieldPosition="0">
        <references count="2">
          <reference field="4294967294" count="1" selected="0">
            <x v="3"/>
          </reference>
          <reference field="2" count="1" selected="0">
            <x v="1"/>
          </reference>
        </references>
      </pivotArea>
    </chartFormat>
    <chartFormat chart="9" format="27">
      <pivotArea type="data" outline="0" fieldPosition="0">
        <references count="2">
          <reference field="4294967294" count="1" selected="0">
            <x v="3"/>
          </reference>
          <reference field="2" count="1" selected="0">
            <x v="2"/>
          </reference>
        </references>
      </pivotArea>
    </chartFormat>
    <chartFormat chart="9" format="28">
      <pivotArea type="data" outline="0" fieldPosition="0">
        <references count="2">
          <reference field="4294967294" count="1" selected="0">
            <x v="3"/>
          </reference>
          <reference field="2" count="1" selected="0">
            <x v="3"/>
          </reference>
        </references>
      </pivotArea>
    </chartFormat>
    <chartFormat chart="9" format="29">
      <pivotArea type="data" outline="0" fieldPosition="0">
        <references count="2">
          <reference field="4294967294" count="1" selected="0">
            <x v="3"/>
          </reference>
          <reference field="2" count="1" selected="0">
            <x v="4"/>
          </reference>
        </references>
      </pivotArea>
    </chartFormat>
    <chartFormat chart="10" format="3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3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0" format="32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0" format="33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0" format="3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0" format="35">
      <pivotArea type="data" outline="0" fieldPosition="0">
        <references count="2">
          <reference field="4294967294" count="1" selected="0">
            <x v="1"/>
          </reference>
          <reference field="2" count="1" selected="0">
            <x v="0"/>
          </reference>
        </references>
      </pivotArea>
    </chartFormat>
    <chartFormat chart="10" format="36">
      <pivotArea type="data" outline="0" fieldPosition="0">
        <references count="2">
          <reference field="4294967294" count="1" selected="0">
            <x v="1"/>
          </reference>
          <reference field="2" count="1" selected="0">
            <x v="1"/>
          </reference>
        </references>
      </pivotArea>
    </chartFormat>
    <chartFormat chart="10" format="37">
      <pivotArea type="data" outline="0" fieldPosition="0">
        <references count="2">
          <reference field="4294967294" count="1" selected="0">
            <x v="1"/>
          </reference>
          <reference field="2" count="1" selected="0">
            <x v="4"/>
          </reference>
        </references>
      </pivotArea>
    </chartFormat>
    <chartFormat chart="10" format="3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0" format="3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0" format="40">
      <pivotArea type="data" outline="0" fieldPosition="0">
        <references count="2">
          <reference field="4294967294" count="1" selected="0">
            <x v="3"/>
          </reference>
          <reference field="2" count="1" selected="0">
            <x v="0"/>
          </reference>
        </references>
      </pivotArea>
    </chartFormat>
    <chartFormat chart="10" format="41">
      <pivotArea type="data" outline="0" fieldPosition="0">
        <references count="2">
          <reference field="4294967294" count="1" selected="0">
            <x v="3"/>
          </reference>
          <reference field="2" count="1" selected="0">
            <x v="1"/>
          </reference>
        </references>
      </pivotArea>
    </chartFormat>
    <chartFormat chart="10" format="42">
      <pivotArea type="data" outline="0" fieldPosition="0">
        <references count="2">
          <reference field="4294967294" count="1" selected="0">
            <x v="3"/>
          </reference>
          <reference field="2" count="1" selected="0">
            <x v="2"/>
          </reference>
        </references>
      </pivotArea>
    </chartFormat>
    <chartFormat chart="10" format="43">
      <pivotArea type="data" outline="0" fieldPosition="0">
        <references count="2">
          <reference field="4294967294" count="1" selected="0">
            <x v="3"/>
          </reference>
          <reference field="2" count="1" selected="0">
            <x v="3"/>
          </reference>
        </references>
      </pivotArea>
    </chartFormat>
    <chartFormat chart="10" format="44">
      <pivotArea type="data" outline="0" fieldPosition="0">
        <references count="2">
          <reference field="4294967294" count="1" selected="0">
            <x v="3"/>
          </reference>
          <reference field="2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F00-000000000000}" name="PivotTable1" cacheId="0" applyNumberFormats="0" applyBorderFormats="0" applyFontFormats="0" applyPatternFormats="0" applyAlignmentFormats="0" applyWidthHeightFormats="1" dataCaption="Values" updatedVersion="5" minRefreshableVersion="3" useAutoFormatting="1" rowGrandTotals="0" itemPrintTitles="1" createdVersion="5" indent="0" compact="0" compactData="0" multipleFieldFilters="0">
  <location ref="A3:C31" firstHeaderRow="1" firstDataRow="1" firstDataCol="2"/>
  <pivotFields count="16">
    <pivotField axis="axisRow" compact="0" outline="0" showAll="0">
      <items count="2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t="default"/>
      </items>
    </pivotField>
    <pivotField compact="0" outline="0" showAll="0"/>
    <pivotField axis="axisRow" compact="0" outline="0" showAll="0">
      <items count="6">
        <item x="3"/>
        <item x="2"/>
        <item x="1"/>
        <item x="4"/>
        <item x="0"/>
        <item t="default"/>
      </items>
    </pivotField>
    <pivotField compact="0" outline="0" showAll="0"/>
    <pivotField compact="0" outline="0" showAll="0"/>
    <pivotField compact="0" outline="0" showAll="0"/>
    <pivotField dataField="1" compact="0" outline="0" showAll="0"/>
    <pivotField compact="0" numFmtId="164" outline="0" showAll="0"/>
    <pivotField compact="0" numFmtId="164" outline="0" showAll="0"/>
    <pivotField compact="0" numFmtId="164" outline="0" showAll="0"/>
    <pivotField compact="0" numFmtId="164" outline="0" showAll="0"/>
    <pivotField compact="0" numFmtId="164" outline="0" showAll="0"/>
    <pivotField compact="0" numFmtId="164" outline="0" showAll="0"/>
    <pivotField compact="0" numFmtId="164" outline="0" showAll="0"/>
    <pivotField compact="0" outline="0" showAll="0"/>
    <pivotField compact="0" numFmtId="164" outline="0" showAll="0"/>
  </pivotFields>
  <rowFields count="2">
    <field x="2"/>
    <field x="0"/>
  </rowFields>
  <rowItems count="28">
    <i>
      <x/>
      <x v="3"/>
    </i>
    <i r="1">
      <x v="13"/>
    </i>
    <i r="1">
      <x v="15"/>
    </i>
    <i r="1">
      <x v="22"/>
    </i>
    <i t="default">
      <x/>
    </i>
    <i>
      <x v="1"/>
      <x v="2"/>
    </i>
    <i r="1">
      <x v="5"/>
    </i>
    <i r="1">
      <x v="11"/>
    </i>
    <i r="1">
      <x v="17"/>
    </i>
    <i t="default">
      <x v="1"/>
    </i>
    <i>
      <x v="2"/>
      <x v="1"/>
    </i>
    <i r="1">
      <x v="9"/>
    </i>
    <i r="1">
      <x v="16"/>
    </i>
    <i r="1">
      <x v="18"/>
    </i>
    <i r="1">
      <x v="21"/>
    </i>
    <i t="default">
      <x v="2"/>
    </i>
    <i>
      <x v="3"/>
      <x v="7"/>
    </i>
    <i r="1">
      <x v="10"/>
    </i>
    <i r="1">
      <x v="12"/>
    </i>
    <i r="1">
      <x v="14"/>
    </i>
    <i t="default">
      <x v="3"/>
    </i>
    <i>
      <x v="4"/>
      <x/>
    </i>
    <i r="1">
      <x v="4"/>
    </i>
    <i r="1">
      <x v="6"/>
    </i>
    <i r="1">
      <x v="8"/>
    </i>
    <i r="1">
      <x v="19"/>
    </i>
    <i r="1">
      <x v="20"/>
    </i>
    <i t="default">
      <x v="4"/>
    </i>
  </rowItems>
  <colItems count="1">
    <i/>
  </colItems>
  <dataFields count="1">
    <dataField name="Total Actual Mileage" fld="6" baseField="0" baseItem="3"/>
  </dataFields>
  <formats count="10">
    <format dxfId="11">
      <pivotArea outline="0" fieldPosition="0">
        <references count="1">
          <reference field="2" count="4" selected="0" defaultSubtotal="1">
            <x v="0"/>
            <x v="1"/>
            <x v="2"/>
            <x v="3"/>
          </reference>
        </references>
      </pivotArea>
    </format>
    <format dxfId="10">
      <pivotArea outline="0" fieldPosition="0">
        <references count="2">
          <reference field="0" count="6" selected="0">
            <x v="0"/>
            <x v="4"/>
            <x v="6"/>
            <x v="8"/>
            <x v="19"/>
            <x v="20"/>
          </reference>
          <reference field="2" count="1" selected="0">
            <x v="4"/>
          </reference>
        </references>
      </pivotArea>
    </format>
    <format dxfId="9">
      <pivotArea field="2" type="button" dataOnly="0" labelOnly="1" outline="0" axis="axisRow" fieldPosition="0"/>
    </format>
    <format dxfId="8">
      <pivotArea field="0" type="button" dataOnly="0" labelOnly="1" outline="0" axis="axisRow" fieldPosition="1"/>
    </format>
    <format dxfId="7">
      <pivotArea dataOnly="0" labelOnly="1" outline="0" axis="axisValues" fieldPosition="0"/>
    </format>
    <format dxfId="6">
      <pivotArea dataOnly="0" labelOnly="1" outline="0" fieldPosition="0">
        <references count="1">
          <reference field="2" count="1">
            <x v="0"/>
          </reference>
        </references>
      </pivotArea>
    </format>
    <format dxfId="5">
      <pivotArea dataOnly="0" labelOnly="1" outline="0" fieldPosition="0">
        <references count="1">
          <reference field="2" count="1">
            <x v="1"/>
          </reference>
        </references>
      </pivotArea>
    </format>
    <format dxfId="4">
      <pivotArea dataOnly="0" labelOnly="1" outline="0" fieldPosition="0">
        <references count="1">
          <reference field="2" count="1">
            <x v="2"/>
          </reference>
        </references>
      </pivotArea>
    </format>
    <format dxfId="3">
      <pivotArea dataOnly="0" labelOnly="1" outline="0" fieldPosition="0">
        <references count="1">
          <reference field="2" count="1">
            <x v="3"/>
          </reference>
        </references>
      </pivotArea>
    </format>
    <format dxfId="2">
      <pivotArea dataOnly="0" labelOnly="1" outline="0" fieldPosition="0">
        <references count="1">
          <reference field="2" count="1">
            <x v="4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000-000000000000}" name="PivotTable2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chartFormat="2" rowHeaderCaption="Employee">
  <location ref="A5:B10" firstHeaderRow="1" firstDataRow="1" firstDataCol="1" rowPageCount="1" colPageCount="1"/>
  <pivotFields count="16">
    <pivotField axis="axisRow" showAll="0">
      <items count="2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t="default"/>
      </items>
    </pivotField>
    <pivotField showAll="0">
      <items count="24">
        <item x="0"/>
        <item x="1"/>
        <item x="21"/>
        <item x="10"/>
        <item x="14"/>
        <item x="4"/>
        <item x="6"/>
        <item x="3"/>
        <item x="20"/>
        <item x="7"/>
        <item x="18"/>
        <item x="12"/>
        <item x="17"/>
        <item x="15"/>
        <item x="16"/>
        <item x="19"/>
        <item x="2"/>
        <item x="11"/>
        <item x="13"/>
        <item x="22"/>
        <item x="5"/>
        <item x="8"/>
        <item x="9"/>
        <item t="default"/>
      </items>
    </pivotField>
    <pivotField axis="axisPage" showAll="0">
      <items count="6">
        <item x="3"/>
        <item x="2"/>
        <item x="1"/>
        <item x="4"/>
        <item x="0"/>
        <item t="default"/>
      </items>
    </pivotField>
    <pivotField showAll="0">
      <items count="5">
        <item x="0"/>
        <item x="2"/>
        <item x="3"/>
        <item x="1"/>
        <item t="default"/>
      </items>
    </pivotField>
    <pivotField showAll="0"/>
    <pivotField showAll="0"/>
    <pivotField dataField="1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showAll="0"/>
    <pivotField numFmtId="164" showAll="0"/>
  </pivotFields>
  <rowFields count="1">
    <field x="0"/>
  </rowFields>
  <rowItems count="5">
    <i>
      <x v="3"/>
    </i>
    <i>
      <x v="13"/>
    </i>
    <i>
      <x v="15"/>
    </i>
    <i>
      <x v="22"/>
    </i>
    <i t="grand">
      <x/>
    </i>
  </rowItems>
  <colItems count="1">
    <i/>
  </colItems>
  <pageFields count="1">
    <pageField fld="2" item="0" hier="-1"/>
  </pageFields>
  <dataFields count="1">
    <dataField name="Actual Mileage " fld="6" baseField="0" baseItem="3"/>
  </dataFields>
  <formats count="2">
    <format dxfId="1">
      <pivotArea field="0" type="button" dataOnly="0" labelOnly="1" outline="0" axis="axisRow" fieldPosition="0"/>
    </format>
    <format dxfId="0">
      <pivotArea dataOnly="0" labelOnly="1" outline="0" axis="axisValues" fieldPosition="0"/>
    </format>
  </format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5:C9" totalsRowShown="0">
  <autoFilter ref="A5:C9" xr:uid="{00000000-0009-0000-0100-000001000000}"/>
  <tableColumns count="3">
    <tableColumn id="1" xr3:uid="{00000000-0010-0000-0000-000001000000}" name="Position"/>
    <tableColumn id="2" xr3:uid="{00000000-0010-0000-0000-000002000000}" name="Allowable Miles" dataDxfId="140"/>
    <tableColumn id="3" xr3:uid="{00000000-0010-0000-0000-000003000000}" name="Rate" dataDxfId="139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5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1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2:C9"/>
  <sheetViews>
    <sheetView workbookViewId="0">
      <selection activeCell="A13" sqref="A13"/>
    </sheetView>
  </sheetViews>
  <sheetFormatPr defaultRowHeight="14.4" x14ac:dyDescent="0.3"/>
  <cols>
    <col min="1" max="1" width="10.44140625" customWidth="1"/>
    <col min="2" max="2" width="17.5546875" customWidth="1"/>
  </cols>
  <sheetData>
    <row r="2" spans="1:3" ht="21.75" customHeight="1" x14ac:dyDescent="0.35">
      <c r="A2" s="3"/>
    </row>
    <row r="4" spans="1:3" ht="21" x14ac:dyDescent="0.4">
      <c r="A4" s="5" t="s">
        <v>64</v>
      </c>
      <c r="B4" s="6"/>
      <c r="C4" s="6"/>
    </row>
    <row r="5" spans="1:3" x14ac:dyDescent="0.3">
      <c r="A5" t="s">
        <v>3</v>
      </c>
      <c r="B5" t="s">
        <v>62</v>
      </c>
      <c r="C5" t="s">
        <v>63</v>
      </c>
    </row>
    <row r="6" spans="1:3" x14ac:dyDescent="0.3">
      <c r="A6" t="s">
        <v>14</v>
      </c>
      <c r="B6" s="2">
        <v>700</v>
      </c>
      <c r="C6" s="4">
        <v>0.2</v>
      </c>
    </row>
    <row r="7" spans="1:3" x14ac:dyDescent="0.3">
      <c r="A7" t="s">
        <v>17</v>
      </c>
      <c r="B7" s="2">
        <v>600</v>
      </c>
      <c r="C7" s="2">
        <v>0.22</v>
      </c>
    </row>
    <row r="8" spans="1:3" x14ac:dyDescent="0.3">
      <c r="A8" t="s">
        <v>27</v>
      </c>
      <c r="B8" s="2">
        <v>550</v>
      </c>
      <c r="C8" s="2">
        <v>0.25</v>
      </c>
    </row>
    <row r="9" spans="1:3" x14ac:dyDescent="0.3">
      <c r="A9" t="s">
        <v>20</v>
      </c>
      <c r="B9" s="2">
        <v>500</v>
      </c>
      <c r="C9" s="2">
        <v>0.32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P35"/>
  <sheetViews>
    <sheetView tabSelected="1" workbookViewId="0">
      <selection activeCell="A5" sqref="A5"/>
    </sheetView>
  </sheetViews>
  <sheetFormatPr defaultRowHeight="14.4" x14ac:dyDescent="0.3"/>
  <cols>
    <col min="1" max="1" width="13.33203125" customWidth="1"/>
    <col min="2" max="2" width="12.109375" customWidth="1"/>
    <col min="4" max="4" width="12.6640625" customWidth="1"/>
    <col min="5" max="5" width="19.109375" customWidth="1"/>
    <col min="6" max="6" width="16" customWidth="1"/>
    <col min="7" max="7" width="15.5546875" customWidth="1"/>
    <col min="10" max="10" width="11.5546875" customWidth="1"/>
    <col min="11" max="11" width="11.109375" customWidth="1"/>
    <col min="12" max="12" width="17.6640625" customWidth="1"/>
    <col min="13" max="13" width="15.33203125" customWidth="1"/>
    <col min="14" max="14" width="15.44140625" customWidth="1"/>
    <col min="15" max="16" width="17" customWidth="1"/>
  </cols>
  <sheetData>
    <row r="1" spans="1:16" ht="18" x14ac:dyDescent="0.35">
      <c r="A1" s="34" t="s">
        <v>74</v>
      </c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9"/>
    </row>
    <row r="2" spans="1:16" ht="15.6" x14ac:dyDescent="0.3">
      <c r="A2" s="33" t="s">
        <v>73</v>
      </c>
      <c r="B2" s="33"/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  <c r="P2" s="9"/>
    </row>
    <row r="3" spans="1:16" x14ac:dyDescent="0.3">
      <c r="A3" s="32" t="s">
        <v>72</v>
      </c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10"/>
    </row>
    <row r="4" spans="1:16" ht="15.6" x14ac:dyDescent="0.3">
      <c r="A4" s="7" t="s">
        <v>0</v>
      </c>
      <c r="B4" s="7" t="s">
        <v>1</v>
      </c>
      <c r="C4" s="7" t="s">
        <v>2</v>
      </c>
      <c r="D4" s="7" t="s">
        <v>3</v>
      </c>
      <c r="E4" s="7" t="s">
        <v>4</v>
      </c>
      <c r="F4" s="7" t="s">
        <v>5</v>
      </c>
      <c r="G4" s="7" t="s">
        <v>75</v>
      </c>
      <c r="H4" s="7" t="s">
        <v>6</v>
      </c>
      <c r="I4" s="7" t="s">
        <v>7</v>
      </c>
      <c r="J4" s="7" t="s">
        <v>8</v>
      </c>
      <c r="K4" s="7" t="s">
        <v>9</v>
      </c>
      <c r="L4" s="7" t="s">
        <v>10</v>
      </c>
      <c r="M4" s="7" t="s">
        <v>11</v>
      </c>
      <c r="N4" s="7" t="s">
        <v>69</v>
      </c>
      <c r="O4" s="7" t="s">
        <v>70</v>
      </c>
      <c r="P4" s="7" t="s">
        <v>71</v>
      </c>
    </row>
    <row r="7" spans="1:16" ht="15.6" x14ac:dyDescent="0.3">
      <c r="A7" s="7" t="s">
        <v>0</v>
      </c>
      <c r="B7" s="7" t="s">
        <v>1</v>
      </c>
      <c r="C7" s="7" t="s">
        <v>2</v>
      </c>
      <c r="D7" s="7" t="s">
        <v>3</v>
      </c>
      <c r="E7" s="7" t="s">
        <v>4</v>
      </c>
      <c r="F7" s="7" t="s">
        <v>5</v>
      </c>
      <c r="G7" s="7" t="s">
        <v>75</v>
      </c>
      <c r="H7" s="7" t="s">
        <v>6</v>
      </c>
      <c r="I7" s="7" t="s">
        <v>7</v>
      </c>
      <c r="J7" s="7" t="s">
        <v>8</v>
      </c>
      <c r="K7" s="7" t="s">
        <v>9</v>
      </c>
      <c r="L7" s="7" t="s">
        <v>10</v>
      </c>
      <c r="M7" s="7" t="s">
        <v>11</v>
      </c>
      <c r="N7" s="7" t="s">
        <v>69</v>
      </c>
      <c r="O7" s="7" t="s">
        <v>70</v>
      </c>
      <c r="P7" s="7" t="s">
        <v>71</v>
      </c>
    </row>
    <row r="8" spans="1:16" x14ac:dyDescent="0.3">
      <c r="A8" t="s">
        <v>12</v>
      </c>
      <c r="B8" t="s">
        <v>13</v>
      </c>
      <c r="C8" s="2">
        <v>5</v>
      </c>
      <c r="D8" s="2" t="s">
        <v>14</v>
      </c>
      <c r="E8">
        <v>25987</v>
      </c>
      <c r="F8" s="2">
        <v>26480</v>
      </c>
      <c r="G8">
        <f>F8-E8</f>
        <v>493</v>
      </c>
      <c r="H8" s="8">
        <v>159.78</v>
      </c>
      <c r="I8" s="8">
        <v>40.99</v>
      </c>
      <c r="J8" s="8">
        <v>63.103999999999999</v>
      </c>
      <c r="K8" s="8">
        <v>0</v>
      </c>
      <c r="L8" s="8">
        <v>5.98</v>
      </c>
      <c r="M8" s="8">
        <v>1802.78</v>
      </c>
      <c r="N8" s="8">
        <f>SUM(H8:M8)</f>
        <v>2072.634</v>
      </c>
      <c r="O8">
        <f>IF(G8&gt;VLOOKUP(D8,Table1[#All],2,FALSE),Expense!G8-VLOOKUP(D8,Table1[#All],2,FALSE),0)</f>
        <v>0</v>
      </c>
      <c r="P8" s="8">
        <f>O8*VLOOKUP(D8,Table1[#All],3,FALSE)</f>
        <v>0</v>
      </c>
    </row>
    <row r="9" spans="1:16" x14ac:dyDescent="0.3">
      <c r="A9" t="s">
        <v>15</v>
      </c>
      <c r="B9" t="s">
        <v>16</v>
      </c>
      <c r="C9" s="2">
        <v>3</v>
      </c>
      <c r="D9" s="2" t="s">
        <v>17</v>
      </c>
      <c r="E9">
        <v>4598</v>
      </c>
      <c r="F9" s="2">
        <v>5590</v>
      </c>
      <c r="G9">
        <f t="shared" ref="G9:G30" si="0">F9-E9</f>
        <v>992</v>
      </c>
      <c r="H9" s="8">
        <v>154.97999999999999</v>
      </c>
      <c r="I9" s="8">
        <v>109.23</v>
      </c>
      <c r="J9" s="8">
        <v>126.97600000000001</v>
      </c>
      <c r="K9" s="8">
        <v>0</v>
      </c>
      <c r="L9" s="8">
        <v>45.69</v>
      </c>
      <c r="M9" s="8">
        <v>806.57</v>
      </c>
      <c r="N9" s="8">
        <f>SUM(H9:M9)</f>
        <v>1243.4459999999999</v>
      </c>
      <c r="O9">
        <f>IF(G9&gt;VLOOKUP(D9,Table1[#All],2,FALSE),Expense!G9-VLOOKUP(D9,Table1[#All],2,FALSE),0)</f>
        <v>392</v>
      </c>
      <c r="P9" s="8">
        <f>O9*VLOOKUP(D9,Table1[#All],3,FALSE)</f>
        <v>86.24</v>
      </c>
    </row>
    <row r="10" spans="1:16" x14ac:dyDescent="0.3">
      <c r="A10" t="s">
        <v>18</v>
      </c>
      <c r="B10" t="s">
        <v>19</v>
      </c>
      <c r="C10" s="2">
        <v>2</v>
      </c>
      <c r="D10" s="2" t="s">
        <v>20</v>
      </c>
      <c r="E10">
        <v>48035</v>
      </c>
      <c r="F10" s="2">
        <v>48886</v>
      </c>
      <c r="G10">
        <f t="shared" si="0"/>
        <v>851</v>
      </c>
      <c r="H10" s="8">
        <v>47.89</v>
      </c>
      <c r="I10" s="8">
        <v>44.7</v>
      </c>
      <c r="J10" s="8">
        <v>108.928</v>
      </c>
      <c r="K10" s="8">
        <v>0</v>
      </c>
      <c r="L10" s="8">
        <v>450.88</v>
      </c>
      <c r="M10" s="8">
        <v>0</v>
      </c>
      <c r="N10" s="8">
        <f t="shared" ref="N10:N30" si="1">SUM(H10:M10)</f>
        <v>652.39800000000002</v>
      </c>
      <c r="O10">
        <f>IF(G10&gt;VLOOKUP(D10,Table1[#All],2,FALSE),Expense!G10-VLOOKUP(D10,Table1[#All],2,FALSE),0)</f>
        <v>351</v>
      </c>
      <c r="P10" s="8">
        <f>O10*VLOOKUP(D10,Table1[#All],3,FALSE)</f>
        <v>112.32000000000001</v>
      </c>
    </row>
    <row r="11" spans="1:16" x14ac:dyDescent="0.3">
      <c r="A11" t="s">
        <v>21</v>
      </c>
      <c r="B11" t="s">
        <v>22</v>
      </c>
      <c r="C11" s="2">
        <v>1</v>
      </c>
      <c r="D11" s="2" t="s">
        <v>14</v>
      </c>
      <c r="E11">
        <v>62087</v>
      </c>
      <c r="F11" s="2">
        <v>62678</v>
      </c>
      <c r="G11">
        <f t="shared" si="0"/>
        <v>591</v>
      </c>
      <c r="H11" s="8">
        <v>145.36000000000001</v>
      </c>
      <c r="I11" s="8">
        <v>48.69</v>
      </c>
      <c r="J11" s="8">
        <v>75.64800000000001</v>
      </c>
      <c r="K11" s="8">
        <v>119.25</v>
      </c>
      <c r="L11" s="8">
        <v>65.48</v>
      </c>
      <c r="M11" s="8">
        <v>450.25</v>
      </c>
      <c r="N11" s="8">
        <f t="shared" si="1"/>
        <v>904.67800000000011</v>
      </c>
      <c r="O11">
        <f>IF(G11&gt;VLOOKUP(D11,Table1[#All],2,FALSE),Expense!G11-VLOOKUP(D11,Table1[#All],2,FALSE),0)</f>
        <v>0</v>
      </c>
      <c r="P11" s="8">
        <f>O11*VLOOKUP(D11,Table1[#All],3,FALSE)</f>
        <v>0</v>
      </c>
    </row>
    <row r="12" spans="1:16" x14ac:dyDescent="0.3">
      <c r="A12" t="s">
        <v>23</v>
      </c>
      <c r="B12" t="s">
        <v>24</v>
      </c>
      <c r="C12" s="2">
        <v>5</v>
      </c>
      <c r="D12" s="2" t="s">
        <v>20</v>
      </c>
      <c r="E12">
        <v>39878</v>
      </c>
      <c r="F12" s="2">
        <v>40800</v>
      </c>
      <c r="G12">
        <f t="shared" si="0"/>
        <v>922</v>
      </c>
      <c r="H12" s="8">
        <v>258.77999999999997</v>
      </c>
      <c r="I12" s="8">
        <v>19.989999999999998</v>
      </c>
      <c r="J12" s="8">
        <v>118.01600000000001</v>
      </c>
      <c r="K12" s="8">
        <v>302.98</v>
      </c>
      <c r="L12" s="8">
        <v>54.69</v>
      </c>
      <c r="M12" s="8">
        <v>0</v>
      </c>
      <c r="N12" s="8">
        <f t="shared" si="1"/>
        <v>754.45600000000013</v>
      </c>
      <c r="O12">
        <f>IF(G12&gt;VLOOKUP(D12,Table1[#All],2,FALSE),Expense!G12-VLOOKUP(D12,Table1[#All],2,FALSE),0)</f>
        <v>422</v>
      </c>
      <c r="P12" s="8">
        <f>O12*VLOOKUP(D12,Table1[#All],3,FALSE)</f>
        <v>135.04</v>
      </c>
    </row>
    <row r="13" spans="1:16" x14ac:dyDescent="0.3">
      <c r="A13" t="s">
        <v>25</v>
      </c>
      <c r="B13" t="s">
        <v>26</v>
      </c>
      <c r="C13" s="2">
        <v>2</v>
      </c>
      <c r="D13" s="2" t="s">
        <v>27</v>
      </c>
      <c r="E13">
        <v>78369</v>
      </c>
      <c r="F13" s="2">
        <v>79000</v>
      </c>
      <c r="G13">
        <f t="shared" si="0"/>
        <v>631</v>
      </c>
      <c r="H13" s="8">
        <v>158.36000000000001</v>
      </c>
      <c r="I13" s="8">
        <v>46.99</v>
      </c>
      <c r="J13" s="8">
        <v>80.768000000000001</v>
      </c>
      <c r="K13" s="8">
        <v>450.98</v>
      </c>
      <c r="L13" s="8">
        <v>1520.32</v>
      </c>
      <c r="M13" s="8">
        <v>259.89</v>
      </c>
      <c r="N13" s="8">
        <f t="shared" si="1"/>
        <v>2517.308</v>
      </c>
      <c r="O13">
        <f>IF(G13&gt;VLOOKUP(D13,Table1[#All],2,FALSE),Expense!G13-VLOOKUP(D13,Table1[#All],2,FALSE),0)</f>
        <v>81</v>
      </c>
      <c r="P13" s="8">
        <f>O13*VLOOKUP(D13,Table1[#All],3,FALSE)</f>
        <v>20.25</v>
      </c>
    </row>
    <row r="14" spans="1:16" x14ac:dyDescent="0.3">
      <c r="A14" t="s">
        <v>28</v>
      </c>
      <c r="B14" t="s">
        <v>29</v>
      </c>
      <c r="C14" s="2">
        <v>5</v>
      </c>
      <c r="D14" s="2" t="s">
        <v>27</v>
      </c>
      <c r="E14">
        <v>58010</v>
      </c>
      <c r="F14" s="2">
        <v>58450</v>
      </c>
      <c r="G14">
        <f t="shared" si="0"/>
        <v>440</v>
      </c>
      <c r="H14" s="8">
        <v>160.80000000000001</v>
      </c>
      <c r="I14" s="8">
        <v>14.07</v>
      </c>
      <c r="J14" s="8">
        <v>56.32</v>
      </c>
      <c r="K14" s="8">
        <v>0</v>
      </c>
      <c r="L14" s="8">
        <v>0</v>
      </c>
      <c r="M14" s="8">
        <v>0</v>
      </c>
      <c r="N14" s="8">
        <f t="shared" si="1"/>
        <v>231.19</v>
      </c>
      <c r="O14">
        <f>IF(G14&gt;VLOOKUP(D14,Table1[#All],2,FALSE),Expense!G14-VLOOKUP(D14,Table1[#All],2,FALSE),0)</f>
        <v>0</v>
      </c>
      <c r="P14" s="8">
        <f>O14*VLOOKUP(D14,Table1[#All],3,FALSE)</f>
        <v>0</v>
      </c>
    </row>
    <row r="15" spans="1:16" x14ac:dyDescent="0.3">
      <c r="A15" t="s">
        <v>30</v>
      </c>
      <c r="B15" t="s">
        <v>31</v>
      </c>
      <c r="C15" s="2">
        <v>4</v>
      </c>
      <c r="D15" s="2" t="s">
        <v>27</v>
      </c>
      <c r="E15">
        <v>11078</v>
      </c>
      <c r="F15" s="2">
        <v>11450</v>
      </c>
      <c r="G15">
        <f t="shared" si="0"/>
        <v>372</v>
      </c>
      <c r="H15" s="8">
        <v>125</v>
      </c>
      <c r="I15" s="8">
        <v>69.08</v>
      </c>
      <c r="J15" s="8">
        <v>47.616000000000007</v>
      </c>
      <c r="K15" s="8">
        <v>0</v>
      </c>
      <c r="L15" s="8">
        <v>0</v>
      </c>
      <c r="M15" s="8">
        <v>0</v>
      </c>
      <c r="N15" s="8">
        <f t="shared" si="1"/>
        <v>241.696</v>
      </c>
      <c r="O15">
        <f>IF(G15&gt;VLOOKUP(D15,Table1[#All],2,FALSE),Expense!G15-VLOOKUP(D15,Table1[#All],2,FALSE),0)</f>
        <v>0</v>
      </c>
      <c r="P15" s="8">
        <f>O15*VLOOKUP(D15,Table1[#All],3,FALSE)</f>
        <v>0</v>
      </c>
    </row>
    <row r="16" spans="1:16" x14ac:dyDescent="0.3">
      <c r="A16" t="s">
        <v>32</v>
      </c>
      <c r="B16" t="s">
        <v>33</v>
      </c>
      <c r="C16" s="2">
        <v>5</v>
      </c>
      <c r="D16" s="2" t="s">
        <v>17</v>
      </c>
      <c r="E16">
        <v>70000</v>
      </c>
      <c r="F16" s="2">
        <v>71089</v>
      </c>
      <c r="G16">
        <f t="shared" si="0"/>
        <v>1089</v>
      </c>
      <c r="H16" s="8">
        <v>159</v>
      </c>
      <c r="I16" s="8">
        <v>99.99</v>
      </c>
      <c r="J16" s="8">
        <v>139.39200000000002</v>
      </c>
      <c r="K16" s="8">
        <v>199.99</v>
      </c>
      <c r="L16" s="8">
        <v>45.69</v>
      </c>
      <c r="M16" s="8">
        <v>129.97999999999999</v>
      </c>
      <c r="N16" s="8">
        <f t="shared" si="1"/>
        <v>774.04200000000014</v>
      </c>
      <c r="O16">
        <f>IF(G16&gt;VLOOKUP(D16,Table1[#All],2,FALSE),Expense!G16-VLOOKUP(D16,Table1[#All],2,FALSE),0)</f>
        <v>489</v>
      </c>
      <c r="P16" s="8">
        <f>O16*VLOOKUP(D16,Table1[#All],3,FALSE)</f>
        <v>107.58</v>
      </c>
    </row>
    <row r="17" spans="1:16" x14ac:dyDescent="0.3">
      <c r="A17" t="s">
        <v>34</v>
      </c>
      <c r="B17" t="s">
        <v>35</v>
      </c>
      <c r="C17" s="2">
        <v>3</v>
      </c>
      <c r="D17" s="2" t="s">
        <v>20</v>
      </c>
      <c r="E17">
        <v>12580</v>
      </c>
      <c r="F17" s="2">
        <v>12580</v>
      </c>
      <c r="G17">
        <f t="shared" si="0"/>
        <v>0</v>
      </c>
      <c r="H17" s="8">
        <v>56.12</v>
      </c>
      <c r="I17" s="8">
        <v>0</v>
      </c>
      <c r="J17" s="8">
        <v>0</v>
      </c>
      <c r="K17" s="8">
        <v>0</v>
      </c>
      <c r="L17" s="8">
        <v>0</v>
      </c>
      <c r="M17" s="8">
        <v>0</v>
      </c>
      <c r="N17" s="8">
        <f t="shared" si="1"/>
        <v>56.12</v>
      </c>
      <c r="O17">
        <f>IF(G17&gt;VLOOKUP(D17,Table1[#All],2,FALSE),Expense!G17-VLOOKUP(D17,Table1[#All],2,FALSE),0)</f>
        <v>0</v>
      </c>
      <c r="P17" s="8">
        <f>O17*VLOOKUP(D17,Table1[#All],3,FALSE)</f>
        <v>0</v>
      </c>
    </row>
    <row r="18" spans="1:16" x14ac:dyDescent="0.3">
      <c r="A18" t="s">
        <v>36</v>
      </c>
      <c r="B18" t="s">
        <v>37</v>
      </c>
      <c r="C18" s="2">
        <v>4</v>
      </c>
      <c r="D18" s="2" t="s">
        <v>14</v>
      </c>
      <c r="E18">
        <v>74098</v>
      </c>
      <c r="F18" s="2">
        <v>75098</v>
      </c>
      <c r="G18">
        <f t="shared" si="0"/>
        <v>1000</v>
      </c>
      <c r="H18" s="8">
        <v>789.95</v>
      </c>
      <c r="I18" s="8">
        <v>252.04</v>
      </c>
      <c r="J18" s="8">
        <v>128</v>
      </c>
      <c r="K18" s="8">
        <v>0</v>
      </c>
      <c r="L18" s="8">
        <v>1500.48</v>
      </c>
      <c r="M18" s="8">
        <v>1750.27</v>
      </c>
      <c r="N18" s="8">
        <f t="shared" si="1"/>
        <v>4420.74</v>
      </c>
      <c r="O18">
        <f>IF(G18&gt;VLOOKUP(D18,Table1[#All],2,FALSE),Expense!G18-VLOOKUP(D18,Table1[#All],2,FALSE),0)</f>
        <v>300</v>
      </c>
      <c r="P18" s="8">
        <f>O18*VLOOKUP(D18,Table1[#All],3,FALSE)</f>
        <v>60</v>
      </c>
    </row>
    <row r="19" spans="1:16" x14ac:dyDescent="0.3">
      <c r="A19" t="s">
        <v>38</v>
      </c>
      <c r="B19" t="s">
        <v>39</v>
      </c>
      <c r="C19" s="2">
        <v>2</v>
      </c>
      <c r="D19" s="2" t="s">
        <v>17</v>
      </c>
      <c r="E19">
        <v>5102</v>
      </c>
      <c r="F19" s="2">
        <v>6020</v>
      </c>
      <c r="G19">
        <f t="shared" si="0"/>
        <v>918</v>
      </c>
      <c r="H19" s="8">
        <v>157.4</v>
      </c>
      <c r="I19" s="8">
        <v>14.07</v>
      </c>
      <c r="J19" s="8">
        <v>117.504</v>
      </c>
      <c r="K19" s="8">
        <v>0</v>
      </c>
      <c r="L19" s="8">
        <v>0</v>
      </c>
      <c r="M19" s="8">
        <v>0</v>
      </c>
      <c r="N19" s="8">
        <f t="shared" si="1"/>
        <v>288.97399999999999</v>
      </c>
      <c r="O19">
        <f>IF(G19&gt;VLOOKUP(D19,Table1[#All],2,FALSE),Expense!G19-VLOOKUP(D19,Table1[#All],2,FALSE),0)</f>
        <v>318</v>
      </c>
      <c r="P19" s="8">
        <f>O19*VLOOKUP(D19,Table1[#All],3,FALSE)</f>
        <v>69.959999999999994</v>
      </c>
    </row>
    <row r="20" spans="1:16" x14ac:dyDescent="0.3">
      <c r="A20" t="s">
        <v>40</v>
      </c>
      <c r="B20" t="s">
        <v>41</v>
      </c>
      <c r="C20" s="2">
        <v>4</v>
      </c>
      <c r="D20" s="2" t="s">
        <v>17</v>
      </c>
      <c r="E20">
        <v>52890</v>
      </c>
      <c r="F20" s="2">
        <v>53479</v>
      </c>
      <c r="G20">
        <f t="shared" si="0"/>
        <v>589</v>
      </c>
      <c r="H20" s="8">
        <v>145.25</v>
      </c>
      <c r="I20" s="8">
        <v>19.989999999999998</v>
      </c>
      <c r="J20" s="8">
        <v>75.391999999999996</v>
      </c>
      <c r="K20" s="8">
        <v>99.99</v>
      </c>
      <c r="L20" s="8">
        <v>26.48</v>
      </c>
      <c r="M20" s="8">
        <v>99.99</v>
      </c>
      <c r="N20" s="8">
        <f t="shared" si="1"/>
        <v>467.09200000000004</v>
      </c>
      <c r="O20">
        <f>IF(G20&gt;VLOOKUP(D20,Table1[#All],2,FALSE),Expense!G20-VLOOKUP(D20,Table1[#All],2,FALSE),0)</f>
        <v>0</v>
      </c>
      <c r="P20" s="8">
        <f>O20*VLOOKUP(D20,Table1[#All],3,FALSE)</f>
        <v>0</v>
      </c>
    </row>
    <row r="21" spans="1:16" x14ac:dyDescent="0.3">
      <c r="A21" t="s">
        <v>42</v>
      </c>
      <c r="B21" t="s">
        <v>43</v>
      </c>
      <c r="C21" s="2">
        <v>1</v>
      </c>
      <c r="D21" s="2" t="s">
        <v>17</v>
      </c>
      <c r="E21">
        <v>58789</v>
      </c>
      <c r="F21" s="2">
        <v>59897</v>
      </c>
      <c r="G21">
        <f t="shared" si="0"/>
        <v>1108</v>
      </c>
      <c r="H21" s="8">
        <v>56.36</v>
      </c>
      <c r="I21" s="8">
        <v>148.25</v>
      </c>
      <c r="J21" s="8">
        <v>141.82400000000001</v>
      </c>
      <c r="K21" s="8">
        <v>258.32</v>
      </c>
      <c r="L21" s="8">
        <v>69.23</v>
      </c>
      <c r="M21" s="8">
        <v>957.45</v>
      </c>
      <c r="N21" s="8">
        <f t="shared" si="1"/>
        <v>1631.4340000000002</v>
      </c>
      <c r="O21">
        <f>IF(G21&gt;VLOOKUP(D21,Table1[#All],2,FALSE),Expense!G21-VLOOKUP(D21,Table1[#All],2,FALSE),0)</f>
        <v>508</v>
      </c>
      <c r="P21" s="8">
        <f>O21*VLOOKUP(D21,Table1[#All],3,FALSE)</f>
        <v>111.76</v>
      </c>
    </row>
    <row r="22" spans="1:16" x14ac:dyDescent="0.3">
      <c r="A22" t="s">
        <v>44</v>
      </c>
      <c r="B22" t="s">
        <v>45</v>
      </c>
      <c r="C22" s="2">
        <v>4</v>
      </c>
      <c r="D22" s="2" t="s">
        <v>20</v>
      </c>
      <c r="E22">
        <v>6980</v>
      </c>
      <c r="F22" s="2">
        <v>7200</v>
      </c>
      <c r="G22">
        <f t="shared" si="0"/>
        <v>220</v>
      </c>
      <c r="H22" s="8">
        <v>45.87</v>
      </c>
      <c r="I22" s="8">
        <v>25.98</v>
      </c>
      <c r="J22" s="8">
        <v>28.16</v>
      </c>
      <c r="K22" s="8">
        <v>0</v>
      </c>
      <c r="L22" s="8">
        <v>0</v>
      </c>
      <c r="M22" s="8">
        <v>0</v>
      </c>
      <c r="N22" s="8">
        <f t="shared" si="1"/>
        <v>100.00999999999999</v>
      </c>
      <c r="O22">
        <f>IF(G22&gt;VLOOKUP(D22,Table1[#All],2,FALSE),Expense!G22-VLOOKUP(D22,Table1[#All],2,FALSE),0)</f>
        <v>0</v>
      </c>
      <c r="P22" s="8">
        <f>O22*VLOOKUP(D22,Table1[#All],3,FALSE)</f>
        <v>0</v>
      </c>
    </row>
    <row r="23" spans="1:16" x14ac:dyDescent="0.3">
      <c r="A23" t="s">
        <v>46</v>
      </c>
      <c r="B23" t="s">
        <v>47</v>
      </c>
      <c r="C23" s="2">
        <v>1</v>
      </c>
      <c r="D23" s="2" t="s">
        <v>20</v>
      </c>
      <c r="E23">
        <v>52082</v>
      </c>
      <c r="F23" s="2">
        <v>52608</v>
      </c>
      <c r="G23">
        <f t="shared" si="0"/>
        <v>526</v>
      </c>
      <c r="H23" s="8">
        <v>147.25</v>
      </c>
      <c r="I23" s="8">
        <v>19.07</v>
      </c>
      <c r="J23" s="8">
        <v>67.328000000000003</v>
      </c>
      <c r="K23" s="8">
        <v>0</v>
      </c>
      <c r="L23" s="8">
        <v>0</v>
      </c>
      <c r="M23" s="8">
        <v>0</v>
      </c>
      <c r="N23" s="8">
        <f t="shared" si="1"/>
        <v>233.648</v>
      </c>
      <c r="O23">
        <f>IF(G23&gt;VLOOKUP(D23,Table1[#All],2,FALSE),Expense!G23-VLOOKUP(D23,Table1[#All],2,FALSE),0)</f>
        <v>26</v>
      </c>
      <c r="P23" s="8">
        <f>O23*VLOOKUP(D23,Table1[#All],3,FALSE)</f>
        <v>8.32</v>
      </c>
    </row>
    <row r="24" spans="1:16" x14ac:dyDescent="0.3">
      <c r="A24" t="s">
        <v>48</v>
      </c>
      <c r="B24" t="s">
        <v>49</v>
      </c>
      <c r="C24" s="2">
        <v>3</v>
      </c>
      <c r="D24" s="2" t="s">
        <v>27</v>
      </c>
      <c r="E24">
        <v>58015</v>
      </c>
      <c r="F24" s="2">
        <v>59500</v>
      </c>
      <c r="G24">
        <f t="shared" si="0"/>
        <v>1485</v>
      </c>
      <c r="H24" s="8">
        <v>65.7</v>
      </c>
      <c r="I24" s="8">
        <v>87.89</v>
      </c>
      <c r="J24" s="8">
        <v>190.08</v>
      </c>
      <c r="K24" s="8">
        <v>0</v>
      </c>
      <c r="L24" s="8">
        <v>0</v>
      </c>
      <c r="M24" s="8">
        <v>0</v>
      </c>
      <c r="N24" s="8">
        <f t="shared" si="1"/>
        <v>343.67</v>
      </c>
      <c r="O24">
        <f>IF(G24&gt;VLOOKUP(D24,Table1[#All],2,FALSE),Expense!G24-VLOOKUP(D24,Table1[#All],2,FALSE),0)</f>
        <v>935</v>
      </c>
      <c r="P24" s="8">
        <f>O24*VLOOKUP(D24,Table1[#All],3,FALSE)</f>
        <v>233.75</v>
      </c>
    </row>
    <row r="25" spans="1:16" x14ac:dyDescent="0.3">
      <c r="A25" t="s">
        <v>50</v>
      </c>
      <c r="B25" t="s">
        <v>51</v>
      </c>
      <c r="C25" s="2">
        <v>2</v>
      </c>
      <c r="D25" s="2" t="s">
        <v>14</v>
      </c>
      <c r="E25">
        <v>59052</v>
      </c>
      <c r="F25" s="2">
        <v>61000</v>
      </c>
      <c r="G25">
        <f t="shared" si="0"/>
        <v>1948</v>
      </c>
      <c r="H25" s="8">
        <v>64.75</v>
      </c>
      <c r="I25" s="8">
        <v>159.88999999999999</v>
      </c>
      <c r="J25" s="8">
        <v>249.34400000000002</v>
      </c>
      <c r="K25" s="8">
        <v>250.74</v>
      </c>
      <c r="L25" s="8">
        <v>0</v>
      </c>
      <c r="M25" s="8">
        <v>801.99</v>
      </c>
      <c r="N25" s="8">
        <f t="shared" si="1"/>
        <v>1526.7139999999999</v>
      </c>
      <c r="O25">
        <f>IF(G25&gt;VLOOKUP(D25,Table1[#All],2,FALSE),Expense!G25-VLOOKUP(D25,Table1[#All],2,FALSE),0)</f>
        <v>1248</v>
      </c>
      <c r="P25" s="8">
        <f>O25*VLOOKUP(D25,Table1[#All],3,FALSE)</f>
        <v>249.60000000000002</v>
      </c>
    </row>
    <row r="26" spans="1:16" x14ac:dyDescent="0.3">
      <c r="A26" t="s">
        <v>52</v>
      </c>
      <c r="B26" t="s">
        <v>53</v>
      </c>
      <c r="C26" s="2">
        <v>3</v>
      </c>
      <c r="D26" s="2" t="s">
        <v>20</v>
      </c>
      <c r="E26">
        <v>59802</v>
      </c>
      <c r="F26" s="2">
        <v>60856</v>
      </c>
      <c r="G26">
        <f t="shared" si="0"/>
        <v>1054</v>
      </c>
      <c r="H26" s="8">
        <v>189.98</v>
      </c>
      <c r="I26" s="8">
        <v>45.98</v>
      </c>
      <c r="J26" s="8">
        <v>134.91200000000001</v>
      </c>
      <c r="K26" s="8">
        <v>250.98</v>
      </c>
      <c r="L26" s="8">
        <v>56.99</v>
      </c>
      <c r="M26" s="8">
        <v>125.98</v>
      </c>
      <c r="N26" s="8">
        <f t="shared" si="1"/>
        <v>804.822</v>
      </c>
      <c r="O26">
        <f>IF(G26&gt;VLOOKUP(D26,Table1[#All],2,FALSE),Expense!G26-VLOOKUP(D26,Table1[#All],2,FALSE),0)</f>
        <v>554</v>
      </c>
      <c r="P26" s="8">
        <f>O26*VLOOKUP(D26,Table1[#All],3,FALSE)</f>
        <v>177.28</v>
      </c>
    </row>
    <row r="27" spans="1:16" x14ac:dyDescent="0.3">
      <c r="A27" t="s">
        <v>54</v>
      </c>
      <c r="B27" t="s">
        <v>55</v>
      </c>
      <c r="C27" s="2">
        <v>5</v>
      </c>
      <c r="D27" s="2" t="s">
        <v>27</v>
      </c>
      <c r="E27">
        <v>0</v>
      </c>
      <c r="F27" s="2">
        <v>0</v>
      </c>
      <c r="G27">
        <f t="shared" si="0"/>
        <v>0</v>
      </c>
      <c r="H27" s="8">
        <v>0</v>
      </c>
      <c r="I27" s="8">
        <v>0</v>
      </c>
      <c r="J27" s="8">
        <v>0</v>
      </c>
      <c r="K27" s="8">
        <v>0</v>
      </c>
      <c r="L27" s="8">
        <v>0</v>
      </c>
      <c r="M27" s="8">
        <v>0</v>
      </c>
      <c r="N27" s="8">
        <f t="shared" si="1"/>
        <v>0</v>
      </c>
      <c r="O27">
        <f>IF(G27&gt;VLOOKUP(D27,Table1[#All],2,FALSE),Expense!G27-VLOOKUP(D27,Table1[#All],2,FALSE),0)</f>
        <v>0</v>
      </c>
      <c r="P27" s="8">
        <f>O27*VLOOKUP(D27,Table1[#All],3,FALSE)</f>
        <v>0</v>
      </c>
    </row>
    <row r="28" spans="1:16" x14ac:dyDescent="0.3">
      <c r="A28" t="s">
        <v>56</v>
      </c>
      <c r="B28" t="s">
        <v>57</v>
      </c>
      <c r="C28" s="2">
        <v>5</v>
      </c>
      <c r="D28" s="2" t="s">
        <v>27</v>
      </c>
      <c r="E28">
        <v>35011</v>
      </c>
      <c r="F28" s="2">
        <v>35600</v>
      </c>
      <c r="G28">
        <f t="shared" si="0"/>
        <v>589</v>
      </c>
      <c r="H28" s="8">
        <v>74.599999999999994</v>
      </c>
      <c r="I28" s="8">
        <v>457.98</v>
      </c>
      <c r="J28" s="8">
        <v>75.391999999999996</v>
      </c>
      <c r="K28" s="8">
        <v>650.23</v>
      </c>
      <c r="L28" s="8">
        <v>0</v>
      </c>
      <c r="M28" s="8">
        <v>102.48</v>
      </c>
      <c r="N28" s="8">
        <f t="shared" si="1"/>
        <v>1360.682</v>
      </c>
      <c r="O28">
        <f>IF(G28&gt;VLOOKUP(D28,Table1[#All],2,FALSE),Expense!G28-VLOOKUP(D28,Table1[#All],2,FALSE),0)</f>
        <v>39</v>
      </c>
      <c r="P28" s="8">
        <f>O28*VLOOKUP(D28,Table1[#All],3,FALSE)</f>
        <v>9.75</v>
      </c>
    </row>
    <row r="29" spans="1:16" x14ac:dyDescent="0.3">
      <c r="A29" t="s">
        <v>58</v>
      </c>
      <c r="B29" t="s">
        <v>59</v>
      </c>
      <c r="C29" s="2">
        <v>3</v>
      </c>
      <c r="D29" s="2" t="s">
        <v>14</v>
      </c>
      <c r="E29">
        <v>25002</v>
      </c>
      <c r="F29" s="2">
        <v>25305</v>
      </c>
      <c r="G29">
        <f t="shared" si="0"/>
        <v>303</v>
      </c>
      <c r="H29" s="8">
        <v>139.75</v>
      </c>
      <c r="I29" s="8">
        <v>257.45</v>
      </c>
      <c r="J29" s="8">
        <v>38.783999999999999</v>
      </c>
      <c r="K29" s="8">
        <v>0</v>
      </c>
      <c r="L29" s="8">
        <v>0</v>
      </c>
      <c r="M29" s="8">
        <v>99.99</v>
      </c>
      <c r="N29" s="8">
        <f t="shared" si="1"/>
        <v>535.97399999999993</v>
      </c>
      <c r="O29">
        <f>IF(G29&gt;VLOOKUP(D29,Table1[#All],2,FALSE),Expense!G29-VLOOKUP(D29,Table1[#All],2,FALSE),0)</f>
        <v>0</v>
      </c>
      <c r="P29" s="8">
        <f>O29*VLOOKUP(D29,Table1[#All],3,FALSE)</f>
        <v>0</v>
      </c>
    </row>
    <row r="30" spans="1:16" x14ac:dyDescent="0.3">
      <c r="A30" t="s">
        <v>60</v>
      </c>
      <c r="B30" t="s">
        <v>61</v>
      </c>
      <c r="C30" s="2">
        <v>1</v>
      </c>
      <c r="D30" s="2" t="s">
        <v>27</v>
      </c>
      <c r="E30">
        <v>32058</v>
      </c>
      <c r="F30" s="2">
        <v>32540</v>
      </c>
      <c r="G30">
        <f t="shared" si="0"/>
        <v>482</v>
      </c>
      <c r="H30" s="8">
        <v>67.23</v>
      </c>
      <c r="I30" s="8">
        <v>107.25</v>
      </c>
      <c r="J30" s="8">
        <v>61.696000000000005</v>
      </c>
      <c r="K30" s="8">
        <v>150.47999999999999</v>
      </c>
      <c r="L30" s="8">
        <v>0</v>
      </c>
      <c r="M30" s="8">
        <v>250.12</v>
      </c>
      <c r="N30" s="8">
        <f t="shared" si="1"/>
        <v>636.77600000000007</v>
      </c>
      <c r="O30">
        <f>IF(G30&gt;VLOOKUP(D30,Table1[#All],2,FALSE),Expense!G30-VLOOKUP(D30,Table1[#All],2,FALSE),0)</f>
        <v>0</v>
      </c>
      <c r="P30" s="8">
        <f>O30*VLOOKUP(D30,Table1[#All],3,FALSE)</f>
        <v>0</v>
      </c>
    </row>
    <row r="32" spans="1:16" x14ac:dyDescent="0.3">
      <c r="A32" t="s">
        <v>65</v>
      </c>
      <c r="G32">
        <f>DMIN(Expense,G7,G9:G30)</f>
        <v>0</v>
      </c>
      <c r="H32" s="11">
        <f t="shared" ref="H32:N32" si="2">DMIN(Expense,H7,H8:H30)</f>
        <v>0</v>
      </c>
      <c r="I32" s="11">
        <f t="shared" si="2"/>
        <v>0</v>
      </c>
      <c r="J32" s="11">
        <f t="shared" si="2"/>
        <v>0</v>
      </c>
      <c r="K32" s="11">
        <f t="shared" si="2"/>
        <v>0</v>
      </c>
      <c r="L32" s="11">
        <f t="shared" si="2"/>
        <v>0</v>
      </c>
      <c r="M32" s="11">
        <f t="shared" si="2"/>
        <v>0</v>
      </c>
      <c r="N32" s="11">
        <f t="shared" si="2"/>
        <v>0</v>
      </c>
      <c r="O32" s="13">
        <f>DMIN(Expense,O7,O8:O30)</f>
        <v>0</v>
      </c>
      <c r="P32" s="8">
        <f>DMIN(Expense,P7,P8:P30)</f>
        <v>0</v>
      </c>
    </row>
    <row r="33" spans="1:16" x14ac:dyDescent="0.3">
      <c r="A33" t="s">
        <v>66</v>
      </c>
      <c r="G33">
        <f t="shared" ref="G33:P33" si="3">DMAX(Expense,G7,G8:G30)</f>
        <v>1948</v>
      </c>
      <c r="H33" s="11">
        <f t="shared" si="3"/>
        <v>789.95</v>
      </c>
      <c r="I33" s="11">
        <f t="shared" si="3"/>
        <v>457.98</v>
      </c>
      <c r="J33" s="11">
        <f t="shared" si="3"/>
        <v>249.34400000000002</v>
      </c>
      <c r="K33" s="11">
        <f t="shared" si="3"/>
        <v>650.23</v>
      </c>
      <c r="L33" s="11">
        <f t="shared" si="3"/>
        <v>1520.32</v>
      </c>
      <c r="M33" s="11">
        <f t="shared" si="3"/>
        <v>1802.78</v>
      </c>
      <c r="N33" s="11">
        <f t="shared" si="3"/>
        <v>4420.74</v>
      </c>
      <c r="O33" s="13">
        <f t="shared" si="3"/>
        <v>1248</v>
      </c>
      <c r="P33" s="11">
        <f t="shared" si="3"/>
        <v>249.60000000000002</v>
      </c>
    </row>
    <row r="34" spans="1:16" x14ac:dyDescent="0.3">
      <c r="A34" t="s">
        <v>67</v>
      </c>
      <c r="G34" s="12">
        <f t="shared" ref="G34:P34" si="4">DAVERAGE(Expense,G7,G8:G30)</f>
        <v>721.86956521739125</v>
      </c>
      <c r="H34" s="11">
        <f t="shared" si="4"/>
        <v>146.52869565217389</v>
      </c>
      <c r="I34" s="11">
        <f t="shared" si="4"/>
        <v>90.850869565217423</v>
      </c>
      <c r="J34" s="11">
        <f t="shared" si="4"/>
        <v>92.399304347826089</v>
      </c>
      <c r="K34" s="11">
        <f t="shared" si="4"/>
        <v>118.86695652173913</v>
      </c>
      <c r="L34" s="11">
        <f t="shared" si="4"/>
        <v>167.0395652173913</v>
      </c>
      <c r="M34" s="11">
        <f t="shared" si="4"/>
        <v>332.07565217391294</v>
      </c>
      <c r="N34" s="11">
        <f t="shared" si="4"/>
        <v>947.76104347826094</v>
      </c>
      <c r="O34" s="13">
        <f t="shared" si="4"/>
        <v>281.2</v>
      </c>
      <c r="P34" s="11">
        <f t="shared" si="4"/>
        <v>68.605000000000004</v>
      </c>
    </row>
    <row r="35" spans="1:16" x14ac:dyDescent="0.3">
      <c r="A35" t="s">
        <v>68</v>
      </c>
      <c r="G35">
        <f t="shared" ref="G35:P35" si="5">DSUM(Expense,G7,G8:G30)</f>
        <v>16603</v>
      </c>
      <c r="H35" s="8">
        <f t="shared" si="5"/>
        <v>3370.16</v>
      </c>
      <c r="I35" s="8">
        <f t="shared" si="5"/>
        <v>2089.5700000000006</v>
      </c>
      <c r="J35" s="1">
        <f t="shared" si="5"/>
        <v>2125.1840000000002</v>
      </c>
      <c r="K35" s="1">
        <f t="shared" si="5"/>
        <v>2733.94</v>
      </c>
      <c r="L35" s="1">
        <f t="shared" si="5"/>
        <v>3841.91</v>
      </c>
      <c r="M35" s="1">
        <f t="shared" si="5"/>
        <v>7637.739999999998</v>
      </c>
      <c r="N35" s="1">
        <f t="shared" si="5"/>
        <v>21798.504000000001</v>
      </c>
      <c r="O35" s="14">
        <f t="shared" si="5"/>
        <v>5624</v>
      </c>
      <c r="P35" s="1">
        <f t="shared" si="5"/>
        <v>1372.1000000000001</v>
      </c>
    </row>
  </sheetData>
  <mergeCells count="3">
    <mergeCell ref="A3:O3"/>
    <mergeCell ref="A2:O2"/>
    <mergeCell ref="A1:O1"/>
  </mergeCells>
  <conditionalFormatting sqref="F30">
    <cfRule type="cellIs" dxfId="138" priority="5" operator="greaterThan">
      <formula>59999</formula>
    </cfRule>
    <cfRule type="cellIs" dxfId="137" priority="6" operator="between">
      <formula>55000</formula>
      <formula>59999</formula>
    </cfRule>
  </conditionalFormatting>
  <conditionalFormatting sqref="F30">
    <cfRule type="cellIs" dxfId="136" priority="3" operator="greaterThan">
      <formula>55000</formula>
    </cfRule>
  </conditionalFormatting>
  <conditionalFormatting sqref="F8:F30">
    <cfRule type="cellIs" dxfId="135" priority="1" operator="between">
      <formula>55000</formula>
      <formula>59999</formula>
    </cfRule>
    <cfRule type="cellIs" dxfId="134" priority="2" operator="greaterThan">
      <formula>60000</formula>
    </cfRule>
  </conditionalFormatting>
  <printOptions gridLines="1"/>
  <pageMargins left="0.7" right="0.7" top="0.75" bottom="0.75" header="0.3" footer="0.3"/>
  <pageSetup orientation="portrait" horizontalDpi="4294967293" verticalDpi="4294967293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H9"/>
  <sheetViews>
    <sheetView workbookViewId="0">
      <selection sqref="A1:H1"/>
    </sheetView>
  </sheetViews>
  <sheetFormatPr defaultRowHeight="14.4" x14ac:dyDescent="0.3"/>
  <cols>
    <col min="1" max="1" width="11.33203125" customWidth="1"/>
    <col min="2" max="5" width="9.109375" customWidth="1"/>
    <col min="6" max="6" width="14.44140625" customWidth="1"/>
    <col min="7" max="7" width="9.109375" customWidth="1"/>
    <col min="8" max="8" width="14.6640625" customWidth="1"/>
  </cols>
  <sheetData>
    <row r="1" spans="1:8" x14ac:dyDescent="0.3">
      <c r="A1" s="36" t="s">
        <v>74</v>
      </c>
      <c r="B1" s="36"/>
      <c r="C1" s="36"/>
      <c r="D1" s="36"/>
      <c r="E1" s="36"/>
      <c r="F1" s="36"/>
      <c r="G1" s="36"/>
      <c r="H1" s="36"/>
    </row>
    <row r="2" spans="1:8" ht="15.6" x14ac:dyDescent="0.3">
      <c r="A2" s="35" t="s">
        <v>84</v>
      </c>
      <c r="B2" s="35"/>
      <c r="C2" s="35"/>
      <c r="D2" s="35"/>
      <c r="E2" s="35"/>
      <c r="F2" s="35"/>
      <c r="G2" s="35"/>
      <c r="H2" s="35"/>
    </row>
    <row r="3" spans="1:8" x14ac:dyDescent="0.3">
      <c r="A3" s="17" t="s">
        <v>2</v>
      </c>
      <c r="B3" s="17" t="s">
        <v>77</v>
      </c>
      <c r="C3" s="17" t="s">
        <v>81</v>
      </c>
      <c r="D3" s="17" t="s">
        <v>82</v>
      </c>
      <c r="E3" s="17" t="s">
        <v>83</v>
      </c>
      <c r="F3" s="17" t="s">
        <v>80</v>
      </c>
      <c r="G3" s="17" t="s">
        <v>79</v>
      </c>
      <c r="H3" s="17" t="s">
        <v>78</v>
      </c>
    </row>
    <row r="4" spans="1:8" x14ac:dyDescent="0.3">
      <c r="A4" s="2">
        <v>1</v>
      </c>
      <c r="B4" s="8">
        <v>416.20000000000005</v>
      </c>
      <c r="C4" s="8">
        <v>323.26</v>
      </c>
      <c r="D4" s="8">
        <v>346.49600000000009</v>
      </c>
      <c r="E4" s="8">
        <v>528.04999999999995</v>
      </c>
      <c r="F4" s="8">
        <v>134.71</v>
      </c>
      <c r="G4" s="8">
        <v>1657.8200000000002</v>
      </c>
      <c r="H4" s="8">
        <v>3406.5360000000001</v>
      </c>
    </row>
    <row r="5" spans="1:8" x14ac:dyDescent="0.3">
      <c r="A5" s="2">
        <v>2</v>
      </c>
      <c r="B5" s="8">
        <v>428.4</v>
      </c>
      <c r="C5" s="8">
        <v>265.64999999999998</v>
      </c>
      <c r="D5" s="8">
        <v>556.54399999999998</v>
      </c>
      <c r="E5" s="8">
        <v>701.72</v>
      </c>
      <c r="F5" s="8">
        <v>1971.1999999999998</v>
      </c>
      <c r="G5" s="8">
        <v>1061.8800000000001</v>
      </c>
      <c r="H5" s="8">
        <v>4985.3940000000002</v>
      </c>
    </row>
    <row r="6" spans="1:8" x14ac:dyDescent="0.3">
      <c r="A6" s="2">
        <v>3</v>
      </c>
      <c r="B6" s="8">
        <v>606.53</v>
      </c>
      <c r="C6" s="8">
        <v>500.54999999999995</v>
      </c>
      <c r="D6" s="8">
        <v>490.75200000000007</v>
      </c>
      <c r="E6" s="8">
        <v>250.98</v>
      </c>
      <c r="F6" s="8">
        <v>102.68</v>
      </c>
      <c r="G6" s="8">
        <v>1032.54</v>
      </c>
      <c r="H6" s="8">
        <v>2984.0320000000002</v>
      </c>
    </row>
    <row r="7" spans="1:8" x14ac:dyDescent="0.3">
      <c r="A7" s="2">
        <v>4</v>
      </c>
      <c r="B7" s="8">
        <v>1106.07</v>
      </c>
      <c r="C7" s="8">
        <v>367.09000000000003</v>
      </c>
      <c r="D7" s="8">
        <v>279.16800000000001</v>
      </c>
      <c r="E7" s="8">
        <v>99.99</v>
      </c>
      <c r="F7" s="8">
        <v>1526.96</v>
      </c>
      <c r="G7" s="8">
        <v>1850.26</v>
      </c>
      <c r="H7" s="8">
        <v>5229.5379999999996</v>
      </c>
    </row>
    <row r="8" spans="1:8" x14ac:dyDescent="0.3">
      <c r="A8" s="2">
        <v>5</v>
      </c>
      <c r="B8" s="8">
        <v>812.95999999999992</v>
      </c>
      <c r="C8" s="8">
        <v>633.02</v>
      </c>
      <c r="D8" s="8">
        <v>452.22399999999999</v>
      </c>
      <c r="E8" s="8">
        <v>1153.2</v>
      </c>
      <c r="F8" s="8">
        <v>106.36</v>
      </c>
      <c r="G8" s="8">
        <v>2035.24</v>
      </c>
      <c r="H8" s="8">
        <v>5193.0039999999999</v>
      </c>
    </row>
    <row r="9" spans="1:8" x14ac:dyDescent="0.3">
      <c r="A9" s="16" t="s">
        <v>76</v>
      </c>
      <c r="B9" s="8">
        <v>3370.16</v>
      </c>
      <c r="C9" s="8">
        <v>2089.5700000000002</v>
      </c>
      <c r="D9" s="8">
        <v>2125.1840000000002</v>
      </c>
      <c r="E9" s="8">
        <v>2733.94</v>
      </c>
      <c r="F9" s="8">
        <v>3841.91</v>
      </c>
      <c r="G9" s="8">
        <v>7637.74</v>
      </c>
      <c r="H9" s="8">
        <v>21798.504000000001</v>
      </c>
    </row>
  </sheetData>
  <mergeCells count="2">
    <mergeCell ref="A2:H2"/>
    <mergeCell ref="A1:H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C9"/>
  <sheetViews>
    <sheetView workbookViewId="0">
      <selection activeCell="B9" sqref="B9"/>
    </sheetView>
  </sheetViews>
  <sheetFormatPr defaultRowHeight="14.4" x14ac:dyDescent="0.3"/>
  <cols>
    <col min="1" max="1" width="17.5546875" customWidth="1"/>
    <col min="2" max="2" width="19.6640625" customWidth="1"/>
  </cols>
  <sheetData>
    <row r="1" spans="1:3" ht="15.6" x14ac:dyDescent="0.3">
      <c r="A1" s="33" t="s">
        <v>85</v>
      </c>
      <c r="B1" s="33"/>
    </row>
    <row r="2" spans="1:3" ht="15.6" x14ac:dyDescent="0.3">
      <c r="A2" s="33" t="s">
        <v>86</v>
      </c>
      <c r="B2" s="33"/>
      <c r="C2" s="18"/>
    </row>
    <row r="3" spans="1:3" ht="15.6" x14ac:dyDescent="0.3">
      <c r="A3" s="33" t="s">
        <v>87</v>
      </c>
      <c r="B3" s="33"/>
    </row>
    <row r="4" spans="1:3" x14ac:dyDescent="0.3">
      <c r="A4" s="17" t="s">
        <v>3</v>
      </c>
      <c r="B4" s="17" t="s">
        <v>78</v>
      </c>
    </row>
    <row r="5" spans="1:3" x14ac:dyDescent="0.3">
      <c r="A5" s="2" t="s">
        <v>14</v>
      </c>
      <c r="B5" s="8">
        <v>9460.74</v>
      </c>
    </row>
    <row r="6" spans="1:3" x14ac:dyDescent="0.3">
      <c r="A6" s="2" t="s">
        <v>20</v>
      </c>
      <c r="B6" s="8">
        <v>2601.4540000000002</v>
      </c>
    </row>
    <row r="7" spans="1:3" x14ac:dyDescent="0.3">
      <c r="A7" s="2" t="s">
        <v>27</v>
      </c>
      <c r="B7" s="8">
        <v>5331.3220000000001</v>
      </c>
    </row>
    <row r="8" spans="1:3" x14ac:dyDescent="0.3">
      <c r="A8" s="2" t="s">
        <v>17</v>
      </c>
      <c r="B8" s="8">
        <v>4404.9880000000003</v>
      </c>
    </row>
    <row r="9" spans="1:3" x14ac:dyDescent="0.3">
      <c r="A9" s="16" t="s">
        <v>76</v>
      </c>
      <c r="B9" s="8">
        <v>21798.504000000001</v>
      </c>
    </row>
  </sheetData>
  <mergeCells count="3">
    <mergeCell ref="A1:B1"/>
    <mergeCell ref="A2:B2"/>
    <mergeCell ref="A3:B3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D35"/>
  <sheetViews>
    <sheetView workbookViewId="0">
      <selection activeCell="A4" sqref="A4"/>
    </sheetView>
  </sheetViews>
  <sheetFormatPr defaultRowHeight="14.4" x14ac:dyDescent="0.3"/>
  <cols>
    <col min="1" max="1" width="19.77734375" customWidth="1"/>
    <col min="2" max="2" width="14.88671875" customWidth="1"/>
    <col min="3" max="3" width="15.44140625" customWidth="1"/>
    <col min="4" max="4" width="11.33203125" bestFit="1" customWidth="1"/>
  </cols>
  <sheetData>
    <row r="1" spans="1:4" ht="15.6" x14ac:dyDescent="0.3">
      <c r="A1" s="37" t="s">
        <v>74</v>
      </c>
      <c r="B1" s="37"/>
      <c r="C1" s="37"/>
      <c r="D1" s="37"/>
    </row>
    <row r="2" spans="1:4" ht="15.6" x14ac:dyDescent="0.3">
      <c r="A2" s="37" t="s">
        <v>99</v>
      </c>
      <c r="B2" s="37"/>
      <c r="C2" s="37"/>
      <c r="D2" s="37"/>
    </row>
    <row r="3" spans="1:4" ht="15.6" x14ac:dyDescent="0.3">
      <c r="A3" s="37" t="s">
        <v>98</v>
      </c>
      <c r="B3" s="37"/>
      <c r="C3" s="37"/>
      <c r="D3" s="37"/>
    </row>
    <row r="4" spans="1:4" x14ac:dyDescent="0.3">
      <c r="A4" s="20"/>
      <c r="B4" s="20" t="s">
        <v>97</v>
      </c>
      <c r="C4" s="20"/>
      <c r="D4" s="20"/>
    </row>
    <row r="5" spans="1:4" x14ac:dyDescent="0.3">
      <c r="A5" s="15" t="s">
        <v>88</v>
      </c>
      <c r="B5" t="s">
        <v>90</v>
      </c>
      <c r="C5" t="s">
        <v>89</v>
      </c>
      <c r="D5" t="s">
        <v>91</v>
      </c>
    </row>
    <row r="6" spans="1:4" x14ac:dyDescent="0.3">
      <c r="A6" s="22">
        <v>1</v>
      </c>
      <c r="B6" s="8"/>
      <c r="C6" s="8"/>
      <c r="D6" s="8"/>
    </row>
    <row r="7" spans="1:4" x14ac:dyDescent="0.3">
      <c r="A7" s="19" t="s">
        <v>14</v>
      </c>
      <c r="B7" s="11">
        <v>48.69</v>
      </c>
      <c r="C7" s="11">
        <v>145.36000000000001</v>
      </c>
      <c r="D7" s="11">
        <v>75.64800000000001</v>
      </c>
    </row>
    <row r="8" spans="1:4" x14ac:dyDescent="0.3">
      <c r="A8" s="19" t="s">
        <v>20</v>
      </c>
      <c r="B8" s="11">
        <v>19.07</v>
      </c>
      <c r="C8" s="11">
        <v>147.25</v>
      </c>
      <c r="D8" s="11">
        <v>67.328000000000003</v>
      </c>
    </row>
    <row r="9" spans="1:4" x14ac:dyDescent="0.3">
      <c r="A9" s="19" t="s">
        <v>27</v>
      </c>
      <c r="B9" s="11">
        <v>107.25</v>
      </c>
      <c r="C9" s="11">
        <v>67.23</v>
      </c>
      <c r="D9" s="11">
        <v>61.696000000000005</v>
      </c>
    </row>
    <row r="10" spans="1:4" x14ac:dyDescent="0.3">
      <c r="A10" s="19" t="s">
        <v>17</v>
      </c>
      <c r="B10" s="11">
        <v>148.25</v>
      </c>
      <c r="C10" s="11">
        <v>56.36</v>
      </c>
      <c r="D10" s="11">
        <v>141.82400000000001</v>
      </c>
    </row>
    <row r="11" spans="1:4" x14ac:dyDescent="0.3">
      <c r="A11" s="16" t="s">
        <v>92</v>
      </c>
      <c r="B11" s="11">
        <v>323.26</v>
      </c>
      <c r="C11" s="11">
        <v>416.20000000000005</v>
      </c>
      <c r="D11" s="11">
        <v>346.49599999999998</v>
      </c>
    </row>
    <row r="12" spans="1:4" x14ac:dyDescent="0.3">
      <c r="A12" s="22">
        <v>2</v>
      </c>
      <c r="B12" s="11"/>
      <c r="C12" s="11"/>
      <c r="D12" s="11"/>
    </row>
    <row r="13" spans="1:4" x14ac:dyDescent="0.3">
      <c r="A13" s="19" t="s">
        <v>14</v>
      </c>
      <c r="B13" s="11">
        <v>159.88999999999999</v>
      </c>
      <c r="C13" s="11">
        <v>64.75</v>
      </c>
      <c r="D13" s="11">
        <v>249.34400000000002</v>
      </c>
    </row>
    <row r="14" spans="1:4" x14ac:dyDescent="0.3">
      <c r="A14" s="19" t="s">
        <v>20</v>
      </c>
      <c r="B14" s="11">
        <v>44.7</v>
      </c>
      <c r="C14" s="11">
        <v>47.89</v>
      </c>
      <c r="D14" s="11">
        <v>108.928</v>
      </c>
    </row>
    <row r="15" spans="1:4" x14ac:dyDescent="0.3">
      <c r="A15" s="19" t="s">
        <v>27</v>
      </c>
      <c r="B15" s="11">
        <v>46.99</v>
      </c>
      <c r="C15" s="11">
        <v>158.36000000000001</v>
      </c>
      <c r="D15" s="11">
        <v>80.768000000000001</v>
      </c>
    </row>
    <row r="16" spans="1:4" x14ac:dyDescent="0.3">
      <c r="A16" s="19" t="s">
        <v>17</v>
      </c>
      <c r="B16" s="11">
        <v>14.07</v>
      </c>
      <c r="C16" s="11">
        <v>157.4</v>
      </c>
      <c r="D16" s="11">
        <v>117.504</v>
      </c>
    </row>
    <row r="17" spans="1:4" x14ac:dyDescent="0.3">
      <c r="A17" s="16" t="s">
        <v>93</v>
      </c>
      <c r="B17" s="11">
        <v>265.64999999999998</v>
      </c>
      <c r="C17" s="11">
        <v>428.4</v>
      </c>
      <c r="D17" s="11">
        <v>556.5440000000001</v>
      </c>
    </row>
    <row r="18" spans="1:4" x14ac:dyDescent="0.3">
      <c r="A18" s="22">
        <v>3</v>
      </c>
      <c r="B18" s="11"/>
      <c r="C18" s="11"/>
      <c r="D18" s="11"/>
    </row>
    <row r="19" spans="1:4" x14ac:dyDescent="0.3">
      <c r="A19" s="19" t="s">
        <v>14</v>
      </c>
      <c r="B19" s="11">
        <v>257.45</v>
      </c>
      <c r="C19" s="11">
        <v>139.75</v>
      </c>
      <c r="D19" s="11">
        <v>38.783999999999999</v>
      </c>
    </row>
    <row r="20" spans="1:4" x14ac:dyDescent="0.3">
      <c r="A20" s="19" t="s">
        <v>20</v>
      </c>
      <c r="B20" s="11">
        <v>45.98</v>
      </c>
      <c r="C20" s="11">
        <v>246.1</v>
      </c>
      <c r="D20" s="11">
        <v>134.91200000000001</v>
      </c>
    </row>
    <row r="21" spans="1:4" x14ac:dyDescent="0.3">
      <c r="A21" s="19" t="s">
        <v>27</v>
      </c>
      <c r="B21" s="11">
        <v>87.89</v>
      </c>
      <c r="C21" s="11">
        <v>65.7</v>
      </c>
      <c r="D21" s="11">
        <v>190.08</v>
      </c>
    </row>
    <row r="22" spans="1:4" x14ac:dyDescent="0.3">
      <c r="A22" s="19" t="s">
        <v>17</v>
      </c>
      <c r="B22" s="11">
        <v>109.23</v>
      </c>
      <c r="C22" s="11">
        <v>154.97999999999999</v>
      </c>
      <c r="D22" s="11">
        <v>126.97600000000001</v>
      </c>
    </row>
    <row r="23" spans="1:4" x14ac:dyDescent="0.3">
      <c r="A23" s="16" t="s">
        <v>94</v>
      </c>
      <c r="B23" s="11">
        <v>500.55</v>
      </c>
      <c r="C23" s="11">
        <v>606.53</v>
      </c>
      <c r="D23" s="11">
        <v>490.75200000000001</v>
      </c>
    </row>
    <row r="24" spans="1:4" x14ac:dyDescent="0.3">
      <c r="A24" s="22">
        <v>4</v>
      </c>
      <c r="B24" s="11"/>
      <c r="C24" s="11"/>
      <c r="D24" s="11"/>
    </row>
    <row r="25" spans="1:4" x14ac:dyDescent="0.3">
      <c r="A25" s="19" t="s">
        <v>14</v>
      </c>
      <c r="B25" s="11">
        <v>252.04</v>
      </c>
      <c r="C25" s="11">
        <v>789.95</v>
      </c>
      <c r="D25" s="11">
        <v>128</v>
      </c>
    </row>
    <row r="26" spans="1:4" x14ac:dyDescent="0.3">
      <c r="A26" s="19" t="s">
        <v>20</v>
      </c>
      <c r="B26" s="11">
        <v>25.98</v>
      </c>
      <c r="C26" s="11">
        <v>45.87</v>
      </c>
      <c r="D26" s="11">
        <v>28.16</v>
      </c>
    </row>
    <row r="27" spans="1:4" x14ac:dyDescent="0.3">
      <c r="A27" s="19" t="s">
        <v>27</v>
      </c>
      <c r="B27" s="11">
        <v>69.08</v>
      </c>
      <c r="C27" s="11">
        <v>125</v>
      </c>
      <c r="D27" s="11">
        <v>47.616000000000007</v>
      </c>
    </row>
    <row r="28" spans="1:4" x14ac:dyDescent="0.3">
      <c r="A28" s="19" t="s">
        <v>17</v>
      </c>
      <c r="B28" s="11">
        <v>19.989999999999998</v>
      </c>
      <c r="C28" s="11">
        <v>145.25</v>
      </c>
      <c r="D28" s="11">
        <v>75.391999999999996</v>
      </c>
    </row>
    <row r="29" spans="1:4" x14ac:dyDescent="0.3">
      <c r="A29" s="16" t="s">
        <v>95</v>
      </c>
      <c r="B29" s="11">
        <v>367.09</v>
      </c>
      <c r="C29" s="11">
        <v>1106.0700000000002</v>
      </c>
      <c r="D29" s="11">
        <v>279.16800000000001</v>
      </c>
    </row>
    <row r="30" spans="1:4" x14ac:dyDescent="0.3">
      <c r="A30" s="22">
        <v>5</v>
      </c>
      <c r="B30" s="11"/>
      <c r="C30" s="11"/>
      <c r="D30" s="11"/>
    </row>
    <row r="31" spans="1:4" x14ac:dyDescent="0.3">
      <c r="A31" s="19" t="s">
        <v>14</v>
      </c>
      <c r="B31" s="11">
        <v>40.99</v>
      </c>
      <c r="C31" s="11">
        <v>159.78</v>
      </c>
      <c r="D31" s="11">
        <v>63.103999999999999</v>
      </c>
    </row>
    <row r="32" spans="1:4" x14ac:dyDescent="0.3">
      <c r="A32" s="19" t="s">
        <v>20</v>
      </c>
      <c r="B32" s="11">
        <v>19.989999999999998</v>
      </c>
      <c r="C32" s="11">
        <v>258.77999999999997</v>
      </c>
      <c r="D32" s="11">
        <v>118.01600000000001</v>
      </c>
    </row>
    <row r="33" spans="1:4" x14ac:dyDescent="0.3">
      <c r="A33" s="19" t="s">
        <v>27</v>
      </c>
      <c r="B33" s="11">
        <v>472.05</v>
      </c>
      <c r="C33" s="11">
        <v>235.4</v>
      </c>
      <c r="D33" s="11">
        <v>131.71199999999999</v>
      </c>
    </row>
    <row r="34" spans="1:4" x14ac:dyDescent="0.3">
      <c r="A34" s="19" t="s">
        <v>17</v>
      </c>
      <c r="B34" s="11">
        <v>99.99</v>
      </c>
      <c r="C34" s="11">
        <v>159</v>
      </c>
      <c r="D34" s="11">
        <v>139.39200000000002</v>
      </c>
    </row>
    <row r="35" spans="1:4" x14ac:dyDescent="0.3">
      <c r="A35" s="16" t="s">
        <v>96</v>
      </c>
      <c r="B35" s="11">
        <v>633.02</v>
      </c>
      <c r="C35" s="11">
        <v>812.95999999999992</v>
      </c>
      <c r="D35" s="11">
        <v>452.22400000000005</v>
      </c>
    </row>
  </sheetData>
  <mergeCells count="3">
    <mergeCell ref="A1:D1"/>
    <mergeCell ref="A2:D2"/>
    <mergeCell ref="A3:D3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E16"/>
  <sheetViews>
    <sheetView workbookViewId="0">
      <selection activeCell="A4" sqref="A4"/>
    </sheetView>
  </sheetViews>
  <sheetFormatPr defaultRowHeight="14.4" x14ac:dyDescent="0.3"/>
  <cols>
    <col min="1" max="1" width="14.6640625" customWidth="1"/>
    <col min="2" max="2" width="15.6640625" customWidth="1"/>
    <col min="3" max="4" width="10" customWidth="1"/>
    <col min="5" max="5" width="10.6640625" customWidth="1"/>
    <col min="6" max="6" width="7.109375" customWidth="1"/>
    <col min="7" max="7" width="8.44140625" customWidth="1"/>
    <col min="8" max="8" width="7.109375" customWidth="1"/>
    <col min="9" max="9" width="8.44140625" customWidth="1"/>
    <col min="10" max="10" width="7.109375" customWidth="1"/>
    <col min="11" max="11" width="13.21875" customWidth="1"/>
    <col min="12" max="12" width="11.77734375" customWidth="1"/>
    <col min="13" max="13" width="5.33203125" customWidth="1"/>
    <col min="14" max="14" width="7.21875" customWidth="1"/>
    <col min="15" max="15" width="7.33203125" customWidth="1"/>
    <col min="16" max="16" width="4.77734375" customWidth="1"/>
    <col min="17" max="17" width="7.21875" customWidth="1"/>
    <col min="18" max="18" width="6.21875" customWidth="1"/>
    <col min="19" max="19" width="4.44140625" customWidth="1"/>
    <col min="20" max="20" width="6.88671875" customWidth="1"/>
    <col min="21" max="21" width="6.33203125" customWidth="1"/>
    <col min="22" max="22" width="6.109375" customWidth="1"/>
    <col min="23" max="23" width="6.44140625" customWidth="1"/>
    <col min="24" max="24" width="5.33203125" customWidth="1"/>
    <col min="25" max="25" width="10.77734375" customWidth="1"/>
    <col min="26" max="26" width="11.5546875" bestFit="1" customWidth="1"/>
    <col min="27" max="27" width="8" customWidth="1"/>
    <col min="28" max="28" width="10.6640625" bestFit="1" customWidth="1"/>
    <col min="29" max="29" width="7.6640625" customWidth="1"/>
    <col min="30" max="30" width="10.33203125" bestFit="1" customWidth="1"/>
    <col min="31" max="31" width="10.88671875" bestFit="1" customWidth="1"/>
    <col min="32" max="32" width="13.6640625" bestFit="1" customWidth="1"/>
    <col min="33" max="33" width="11.88671875" bestFit="1" customWidth="1"/>
    <col min="34" max="34" width="14.6640625" bestFit="1" customWidth="1"/>
    <col min="35" max="35" width="7.21875" customWidth="1"/>
    <col min="36" max="36" width="9.109375" bestFit="1" customWidth="1"/>
    <col min="37" max="37" width="7.88671875" customWidth="1"/>
    <col min="38" max="38" width="10.5546875" bestFit="1" customWidth="1"/>
    <col min="39" max="39" width="8.44140625" customWidth="1"/>
    <col min="40" max="40" width="11.109375" bestFit="1" customWidth="1"/>
    <col min="41" max="41" width="9.6640625" bestFit="1" customWidth="1"/>
    <col min="42" max="42" width="12.33203125" bestFit="1" customWidth="1"/>
    <col min="43" max="43" width="7.77734375" customWidth="1"/>
    <col min="44" max="44" width="10.44140625" bestFit="1" customWidth="1"/>
    <col min="45" max="45" width="7.33203125" customWidth="1"/>
    <col min="46" max="46" width="10" bestFit="1" customWidth="1"/>
    <col min="47" max="47" width="10.77734375" bestFit="1" customWidth="1"/>
  </cols>
  <sheetData>
    <row r="1" spans="1:5" ht="15.6" x14ac:dyDescent="0.3">
      <c r="A1" s="38" t="s">
        <v>74</v>
      </c>
      <c r="B1" s="38"/>
      <c r="C1" s="38"/>
      <c r="D1" s="38"/>
      <c r="E1" s="38"/>
    </row>
    <row r="2" spans="1:5" ht="15.6" x14ac:dyDescent="0.3">
      <c r="A2" s="38" t="s">
        <v>101</v>
      </c>
      <c r="B2" s="38"/>
      <c r="C2" s="38"/>
      <c r="D2" s="38"/>
      <c r="E2" s="38"/>
    </row>
    <row r="3" spans="1:5" x14ac:dyDescent="0.3">
      <c r="A3" s="29" t="s">
        <v>0</v>
      </c>
      <c r="B3" s="29" t="s">
        <v>1</v>
      </c>
      <c r="C3" s="29" t="s">
        <v>2</v>
      </c>
      <c r="D3" s="29" t="s">
        <v>3</v>
      </c>
      <c r="E3" s="29" t="s">
        <v>79</v>
      </c>
    </row>
    <row r="4" spans="1:5" x14ac:dyDescent="0.3">
      <c r="A4" t="s">
        <v>12</v>
      </c>
      <c r="B4" t="s">
        <v>13</v>
      </c>
      <c r="C4" s="2">
        <v>5</v>
      </c>
      <c r="D4" t="s">
        <v>14</v>
      </c>
      <c r="E4" s="8">
        <v>1802.78</v>
      </c>
    </row>
    <row r="5" spans="1:5" x14ac:dyDescent="0.3">
      <c r="A5" t="s">
        <v>36</v>
      </c>
      <c r="B5" t="s">
        <v>37</v>
      </c>
      <c r="C5" s="2">
        <v>4</v>
      </c>
      <c r="D5" t="s">
        <v>14</v>
      </c>
      <c r="E5" s="8">
        <v>1750.27</v>
      </c>
    </row>
    <row r="13" spans="1:5" ht="15.6" x14ac:dyDescent="0.3">
      <c r="A13" s="38" t="s">
        <v>100</v>
      </c>
      <c r="B13" s="38"/>
      <c r="C13" s="38"/>
      <c r="D13" s="38"/>
      <c r="E13" s="23"/>
    </row>
    <row r="14" spans="1:5" x14ac:dyDescent="0.3">
      <c r="A14" s="29" t="s">
        <v>0</v>
      </c>
      <c r="B14" s="29" t="s">
        <v>1</v>
      </c>
      <c r="C14" s="29" t="s">
        <v>2</v>
      </c>
      <c r="D14" s="29" t="s">
        <v>3</v>
      </c>
      <c r="E14" s="29" t="s">
        <v>79</v>
      </c>
    </row>
    <row r="15" spans="1:5" x14ac:dyDescent="0.3">
      <c r="A15" t="s">
        <v>15</v>
      </c>
      <c r="B15" t="s">
        <v>16</v>
      </c>
      <c r="C15" s="2">
        <v>3</v>
      </c>
      <c r="D15" t="s">
        <v>17</v>
      </c>
      <c r="E15" s="8">
        <v>806.57</v>
      </c>
    </row>
    <row r="16" spans="1:5" x14ac:dyDescent="0.3">
      <c r="A16" t="s">
        <v>42</v>
      </c>
      <c r="B16" t="s">
        <v>43</v>
      </c>
      <c r="C16" s="2">
        <v>1</v>
      </c>
      <c r="D16" t="s">
        <v>17</v>
      </c>
      <c r="E16" s="8">
        <v>957.45</v>
      </c>
    </row>
  </sheetData>
  <mergeCells count="3">
    <mergeCell ref="A13:D13"/>
    <mergeCell ref="A2:E2"/>
    <mergeCell ref="A1:E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G4"/>
  <sheetViews>
    <sheetView workbookViewId="0">
      <selection sqref="A1:G1"/>
    </sheetView>
  </sheetViews>
  <sheetFormatPr defaultRowHeight="14.4" x14ac:dyDescent="0.3"/>
  <cols>
    <col min="1" max="1" width="13.33203125" customWidth="1"/>
    <col min="2" max="2" width="12.109375" bestFit="1" customWidth="1"/>
    <col min="3" max="3" width="20" bestFit="1" customWidth="1"/>
    <col min="4" max="4" width="9.77734375" bestFit="1" customWidth="1"/>
    <col min="5" max="5" width="13.88671875" customWidth="1"/>
    <col min="6" max="6" width="8.44140625" customWidth="1"/>
    <col min="7" max="7" width="14.88671875" customWidth="1"/>
  </cols>
  <sheetData>
    <row r="1" spans="1:7" ht="15.6" x14ac:dyDescent="0.3">
      <c r="A1" s="39" t="s">
        <v>74</v>
      </c>
      <c r="B1" s="39"/>
      <c r="C1" s="39"/>
      <c r="D1" s="39"/>
      <c r="E1" s="39"/>
      <c r="F1" s="39"/>
      <c r="G1" s="39"/>
    </row>
    <row r="2" spans="1:7" ht="15.6" x14ac:dyDescent="0.3">
      <c r="A2" s="39" t="s">
        <v>104</v>
      </c>
      <c r="B2" s="39"/>
      <c r="C2" s="39"/>
      <c r="D2" s="39"/>
      <c r="E2" s="39"/>
      <c r="F2" s="39"/>
      <c r="G2" s="39"/>
    </row>
    <row r="3" spans="1:7" x14ac:dyDescent="0.3">
      <c r="A3" s="29" t="s">
        <v>0</v>
      </c>
      <c r="B3" s="29" t="s">
        <v>1</v>
      </c>
      <c r="C3" s="29" t="s">
        <v>3</v>
      </c>
      <c r="D3" s="29" t="s">
        <v>2</v>
      </c>
      <c r="E3" s="29" t="s">
        <v>78</v>
      </c>
      <c r="F3" s="29" t="s">
        <v>102</v>
      </c>
      <c r="G3" s="29" t="s">
        <v>103</v>
      </c>
    </row>
    <row r="4" spans="1:7" x14ac:dyDescent="0.3">
      <c r="A4" t="s">
        <v>54</v>
      </c>
      <c r="B4" t="s">
        <v>55</v>
      </c>
      <c r="C4" s="2" t="s">
        <v>27</v>
      </c>
      <c r="D4" s="2">
        <v>5</v>
      </c>
      <c r="E4" s="8">
        <v>0</v>
      </c>
      <c r="F4" s="21">
        <v>0</v>
      </c>
      <c r="G4" s="8">
        <v>0</v>
      </c>
    </row>
  </sheetData>
  <mergeCells count="2">
    <mergeCell ref="A2:G2"/>
    <mergeCell ref="A1:G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C8"/>
  <sheetViews>
    <sheetView workbookViewId="0">
      <selection activeCell="A3" sqref="A3"/>
    </sheetView>
  </sheetViews>
  <sheetFormatPr defaultRowHeight="14.4" x14ac:dyDescent="0.3"/>
  <cols>
    <col min="1" max="1" width="10.77734375" customWidth="1"/>
    <col min="2" max="2" width="16.5546875" customWidth="1"/>
    <col min="3" max="3" width="23.77734375" customWidth="1"/>
  </cols>
  <sheetData>
    <row r="1" spans="1:3" ht="15.6" x14ac:dyDescent="0.3">
      <c r="A1" s="39" t="s">
        <v>74</v>
      </c>
      <c r="B1" s="39"/>
      <c r="C1" s="39"/>
    </row>
    <row r="2" spans="1:3" ht="15.6" x14ac:dyDescent="0.3">
      <c r="A2" s="39" t="s">
        <v>113</v>
      </c>
      <c r="B2" s="39"/>
      <c r="C2" s="39"/>
    </row>
    <row r="3" spans="1:3" x14ac:dyDescent="0.3">
      <c r="A3" s="24" t="s">
        <v>3</v>
      </c>
      <c r="B3" s="25" t="s">
        <v>83</v>
      </c>
      <c r="C3" s="25" t="s">
        <v>79</v>
      </c>
    </row>
    <row r="4" spans="1:3" x14ac:dyDescent="0.3">
      <c r="A4" s="16" t="s">
        <v>14</v>
      </c>
      <c r="B4" s="11">
        <v>369.99</v>
      </c>
      <c r="C4" s="11">
        <v>4905.28</v>
      </c>
    </row>
    <row r="5" spans="1:3" x14ac:dyDescent="0.3">
      <c r="A5" s="16" t="s">
        <v>20</v>
      </c>
      <c r="B5" s="11">
        <v>553.96</v>
      </c>
      <c r="C5" s="11">
        <v>125.98</v>
      </c>
    </row>
    <row r="6" spans="1:3" x14ac:dyDescent="0.3">
      <c r="A6" s="16" t="s">
        <v>27</v>
      </c>
      <c r="B6" s="11">
        <v>1251.69</v>
      </c>
      <c r="C6" s="11">
        <v>612.49</v>
      </c>
    </row>
    <row r="7" spans="1:3" x14ac:dyDescent="0.3">
      <c r="A7" s="16" t="s">
        <v>17</v>
      </c>
      <c r="B7" s="11">
        <v>558.29999999999995</v>
      </c>
      <c r="C7" s="11">
        <v>1993.99</v>
      </c>
    </row>
    <row r="8" spans="1:3" x14ac:dyDescent="0.3">
      <c r="A8" s="16" t="s">
        <v>76</v>
      </c>
      <c r="B8" s="11">
        <v>2733.9400000000005</v>
      </c>
      <c r="C8" s="11">
        <v>7637.7399999999989</v>
      </c>
    </row>
  </sheetData>
  <mergeCells count="2">
    <mergeCell ref="A1:C1"/>
    <mergeCell ref="A2:C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E8"/>
  <sheetViews>
    <sheetView workbookViewId="0">
      <selection activeCell="A3" sqref="A3"/>
    </sheetView>
  </sheetViews>
  <sheetFormatPr defaultRowHeight="14.4" x14ac:dyDescent="0.3"/>
  <cols>
    <col min="1" max="1" width="12.5546875" bestFit="1" customWidth="1"/>
    <col min="2" max="2" width="15.44140625" customWidth="1"/>
    <col min="3" max="3" width="11.33203125" customWidth="1"/>
    <col min="4" max="4" width="11.77734375" customWidth="1"/>
    <col min="5" max="5" width="12.44140625" customWidth="1"/>
  </cols>
  <sheetData>
    <row r="1" spans="1:5" ht="15.6" x14ac:dyDescent="0.3">
      <c r="A1" s="39" t="s">
        <v>74</v>
      </c>
      <c r="B1" s="39"/>
      <c r="C1" s="39"/>
      <c r="D1" s="39"/>
      <c r="E1" s="39"/>
    </row>
    <row r="2" spans="1:5" ht="15.6" x14ac:dyDescent="0.3">
      <c r="A2" s="39" t="s">
        <v>114</v>
      </c>
      <c r="B2" s="39"/>
      <c r="C2" s="39"/>
      <c r="D2" s="39"/>
      <c r="E2" s="39"/>
    </row>
    <row r="3" spans="1:5" x14ac:dyDescent="0.3">
      <c r="A3" s="26" t="s">
        <v>0</v>
      </c>
      <c r="B3" s="26" t="s">
        <v>1</v>
      </c>
      <c r="C3" s="26" t="s">
        <v>2</v>
      </c>
      <c r="D3" s="26" t="s">
        <v>3</v>
      </c>
      <c r="E3" s="26" t="s">
        <v>79</v>
      </c>
    </row>
    <row r="4" spans="1:5" x14ac:dyDescent="0.3">
      <c r="A4" t="s">
        <v>12</v>
      </c>
      <c r="B4" t="s">
        <v>13</v>
      </c>
      <c r="C4" s="2">
        <v>5</v>
      </c>
      <c r="D4" t="s">
        <v>14</v>
      </c>
      <c r="E4" s="11">
        <v>1802.78</v>
      </c>
    </row>
    <row r="5" spans="1:5" x14ac:dyDescent="0.3">
      <c r="A5" t="s">
        <v>21</v>
      </c>
      <c r="B5" t="s">
        <v>22</v>
      </c>
      <c r="C5" s="2">
        <v>1</v>
      </c>
      <c r="D5" t="s">
        <v>14</v>
      </c>
      <c r="E5" s="11">
        <v>450.25</v>
      </c>
    </row>
    <row r="6" spans="1:5" x14ac:dyDescent="0.3">
      <c r="A6" t="s">
        <v>36</v>
      </c>
      <c r="B6" t="s">
        <v>37</v>
      </c>
      <c r="C6" s="2">
        <v>4</v>
      </c>
      <c r="D6" t="s">
        <v>14</v>
      </c>
      <c r="E6" s="11">
        <v>1750.27</v>
      </c>
    </row>
    <row r="7" spans="1:5" x14ac:dyDescent="0.3">
      <c r="A7" t="s">
        <v>50</v>
      </c>
      <c r="B7" t="s">
        <v>51</v>
      </c>
      <c r="C7" s="2">
        <v>2</v>
      </c>
      <c r="D7" t="s">
        <v>14</v>
      </c>
      <c r="E7" s="11">
        <v>801.99</v>
      </c>
    </row>
    <row r="8" spans="1:5" x14ac:dyDescent="0.3">
      <c r="A8" t="s">
        <v>58</v>
      </c>
      <c r="B8" t="s">
        <v>59</v>
      </c>
      <c r="C8" s="2">
        <v>3</v>
      </c>
      <c r="D8" t="s">
        <v>14</v>
      </c>
      <c r="E8" s="11">
        <v>99.99</v>
      </c>
    </row>
  </sheetData>
  <mergeCells count="2">
    <mergeCell ref="A2:E2"/>
    <mergeCell ref="A1:E1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F10"/>
  <sheetViews>
    <sheetView workbookViewId="0">
      <selection activeCell="A4" sqref="A4"/>
    </sheetView>
  </sheetViews>
  <sheetFormatPr defaultRowHeight="14.4" x14ac:dyDescent="0.3"/>
  <cols>
    <col min="1" max="1" width="16.6640625" customWidth="1"/>
    <col min="2" max="3" width="10" customWidth="1"/>
    <col min="4" max="5" width="10" bestFit="1" customWidth="1"/>
    <col min="6" max="6" width="10.77734375" bestFit="1" customWidth="1"/>
  </cols>
  <sheetData>
    <row r="1" spans="1:6" ht="15.6" x14ac:dyDescent="0.3">
      <c r="A1" s="39" t="s">
        <v>116</v>
      </c>
      <c r="B1" s="39"/>
      <c r="C1" s="39"/>
      <c r="D1" s="39"/>
      <c r="E1" s="39"/>
      <c r="F1" s="39"/>
    </row>
    <row r="2" spans="1:6" ht="15.6" x14ac:dyDescent="0.3">
      <c r="A2" s="39" t="s">
        <v>115</v>
      </c>
      <c r="B2" s="39"/>
      <c r="C2" s="39"/>
      <c r="D2" s="39"/>
      <c r="E2" s="39"/>
      <c r="F2" s="39"/>
    </row>
    <row r="3" spans="1:6" x14ac:dyDescent="0.3">
      <c r="A3" s="26" t="s">
        <v>105</v>
      </c>
      <c r="B3" s="26" t="s">
        <v>3</v>
      </c>
      <c r="C3" s="26"/>
      <c r="D3" s="26"/>
      <c r="E3" s="26"/>
      <c r="F3" s="26"/>
    </row>
    <row r="4" spans="1:6" x14ac:dyDescent="0.3">
      <c r="A4" s="26" t="s">
        <v>2</v>
      </c>
      <c r="B4" s="26" t="s">
        <v>14</v>
      </c>
      <c r="C4" s="26" t="s">
        <v>20</v>
      </c>
      <c r="D4" s="26" t="s">
        <v>27</v>
      </c>
      <c r="E4" s="26" t="s">
        <v>17</v>
      </c>
      <c r="F4" s="26" t="s">
        <v>76</v>
      </c>
    </row>
    <row r="5" spans="1:6" x14ac:dyDescent="0.3">
      <c r="A5" s="2">
        <v>1</v>
      </c>
      <c r="B5" s="21">
        <v>1</v>
      </c>
      <c r="C5" s="21">
        <v>1</v>
      </c>
      <c r="D5" s="21">
        <v>1</v>
      </c>
      <c r="E5" s="21">
        <v>1</v>
      </c>
      <c r="F5" s="21">
        <v>4</v>
      </c>
    </row>
    <row r="6" spans="1:6" x14ac:dyDescent="0.3">
      <c r="A6" s="2">
        <v>2</v>
      </c>
      <c r="B6" s="21">
        <v>1</v>
      </c>
      <c r="C6" s="21">
        <v>1</v>
      </c>
      <c r="D6" s="21">
        <v>1</v>
      </c>
      <c r="E6" s="21">
        <v>1</v>
      </c>
      <c r="F6" s="21">
        <v>4</v>
      </c>
    </row>
    <row r="7" spans="1:6" x14ac:dyDescent="0.3">
      <c r="A7" s="2">
        <v>3</v>
      </c>
      <c r="B7" s="21">
        <v>1</v>
      </c>
      <c r="C7" s="21">
        <v>2</v>
      </c>
      <c r="D7" s="21">
        <v>1</v>
      </c>
      <c r="E7" s="21">
        <v>1</v>
      </c>
      <c r="F7" s="21">
        <v>5</v>
      </c>
    </row>
    <row r="8" spans="1:6" x14ac:dyDescent="0.3">
      <c r="A8" s="2">
        <v>4</v>
      </c>
      <c r="B8" s="21">
        <v>1</v>
      </c>
      <c r="C8" s="21">
        <v>1</v>
      </c>
      <c r="D8" s="21">
        <v>1</v>
      </c>
      <c r="E8" s="21">
        <v>1</v>
      </c>
      <c r="F8" s="21">
        <v>4</v>
      </c>
    </row>
    <row r="9" spans="1:6" x14ac:dyDescent="0.3">
      <c r="A9" s="2">
        <v>5</v>
      </c>
      <c r="B9" s="21">
        <v>1</v>
      </c>
      <c r="C9" s="21">
        <v>1</v>
      </c>
      <c r="D9" s="21">
        <v>3</v>
      </c>
      <c r="E9" s="21">
        <v>1</v>
      </c>
      <c r="F9" s="21">
        <v>6</v>
      </c>
    </row>
    <row r="10" spans="1:6" x14ac:dyDescent="0.3">
      <c r="A10" t="s">
        <v>76</v>
      </c>
      <c r="B10" s="21">
        <v>5</v>
      </c>
      <c r="C10" s="21">
        <v>6</v>
      </c>
      <c r="D10" s="21">
        <v>7</v>
      </c>
      <c r="E10" s="21">
        <v>5</v>
      </c>
      <c r="F10" s="21">
        <v>23</v>
      </c>
    </row>
  </sheetData>
  <mergeCells count="2">
    <mergeCell ref="A2:F2"/>
    <mergeCell ref="A1:F1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C9"/>
  <sheetViews>
    <sheetView workbookViewId="0">
      <selection activeCell="B9" sqref="B9"/>
    </sheetView>
  </sheetViews>
  <sheetFormatPr defaultRowHeight="14.4" x14ac:dyDescent="0.3"/>
  <cols>
    <col min="1" max="1" width="19.44140625" customWidth="1"/>
    <col min="2" max="2" width="24.77734375" customWidth="1"/>
  </cols>
  <sheetData>
    <row r="1" spans="1:3" ht="15.6" x14ac:dyDescent="0.3">
      <c r="A1" s="33" t="s">
        <v>74</v>
      </c>
      <c r="B1" s="33"/>
    </row>
    <row r="2" spans="1:3" ht="15.6" x14ac:dyDescent="0.3">
      <c r="A2" s="33" t="s">
        <v>117</v>
      </c>
      <c r="B2" s="33"/>
    </row>
    <row r="3" spans="1:3" x14ac:dyDescent="0.3">
      <c r="A3" s="26" t="s">
        <v>2</v>
      </c>
      <c r="B3" s="26" t="s">
        <v>106</v>
      </c>
    </row>
    <row r="4" spans="1:3" x14ac:dyDescent="0.3">
      <c r="A4" s="27">
        <v>3</v>
      </c>
      <c r="B4" s="28">
        <v>2984.0320000000002</v>
      </c>
      <c r="C4" s="31" t="s">
        <v>118</v>
      </c>
    </row>
    <row r="5" spans="1:3" x14ac:dyDescent="0.3">
      <c r="A5" s="16">
        <v>1</v>
      </c>
      <c r="B5" s="11">
        <v>3406.5360000000001</v>
      </c>
    </row>
    <row r="6" spans="1:3" x14ac:dyDescent="0.3">
      <c r="A6" s="16">
        <v>2</v>
      </c>
      <c r="B6" s="11">
        <v>4985.3940000000002</v>
      </c>
    </row>
    <row r="7" spans="1:3" x14ac:dyDescent="0.3">
      <c r="A7" s="16">
        <v>5</v>
      </c>
      <c r="B7" s="11">
        <v>5193.0039999999999</v>
      </c>
    </row>
    <row r="8" spans="1:3" x14ac:dyDescent="0.3">
      <c r="A8" s="16">
        <v>4</v>
      </c>
      <c r="B8" s="11">
        <v>5229.5379999999996</v>
      </c>
    </row>
    <row r="9" spans="1:3" x14ac:dyDescent="0.3">
      <c r="A9" s="16" t="s">
        <v>76</v>
      </c>
      <c r="B9" s="11">
        <v>21798.504000000001</v>
      </c>
    </row>
  </sheetData>
  <mergeCells count="2">
    <mergeCell ref="A2:B2"/>
    <mergeCell ref="A1:B1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3:D9"/>
  <sheetViews>
    <sheetView workbookViewId="0">
      <selection activeCell="A5" sqref="A5"/>
    </sheetView>
  </sheetViews>
  <sheetFormatPr defaultRowHeight="14.4" x14ac:dyDescent="0.3"/>
  <cols>
    <col min="1" max="1" width="9.33203125" customWidth="1"/>
    <col min="2" max="2" width="8.44140625" customWidth="1"/>
    <col min="3" max="3" width="12.6640625" customWidth="1"/>
    <col min="4" max="4" width="11.44140625" customWidth="1"/>
  </cols>
  <sheetData>
    <row r="3" spans="1:4" ht="15.6" x14ac:dyDescent="0.3">
      <c r="A3" s="38" t="s">
        <v>74</v>
      </c>
      <c r="B3" s="38"/>
      <c r="C3" s="38"/>
      <c r="D3" s="38"/>
    </row>
    <row r="4" spans="1:4" ht="15.6" x14ac:dyDescent="0.3">
      <c r="A4" s="38" t="s">
        <v>119</v>
      </c>
      <c r="B4" s="38"/>
      <c r="C4" s="38"/>
      <c r="D4" s="38"/>
    </row>
    <row r="5" spans="1:4" x14ac:dyDescent="0.3">
      <c r="A5" s="29" t="s">
        <v>3</v>
      </c>
      <c r="B5" s="29" t="s">
        <v>20</v>
      </c>
    </row>
    <row r="7" spans="1:4" x14ac:dyDescent="0.3">
      <c r="A7" s="17" t="s">
        <v>107</v>
      </c>
      <c r="B7" s="17" t="s">
        <v>108</v>
      </c>
      <c r="C7" s="17" t="s">
        <v>83</v>
      </c>
      <c r="D7" s="17" t="s">
        <v>109</v>
      </c>
    </row>
    <row r="8" spans="1:4" x14ac:dyDescent="0.3">
      <c r="A8" s="16" t="s">
        <v>52</v>
      </c>
      <c r="B8" s="21"/>
      <c r="C8" s="21"/>
      <c r="D8" s="21"/>
    </row>
    <row r="9" spans="1:4" x14ac:dyDescent="0.3">
      <c r="A9" s="19" t="s">
        <v>53</v>
      </c>
      <c r="B9" s="21">
        <v>3</v>
      </c>
      <c r="C9" s="11">
        <v>250.98</v>
      </c>
      <c r="D9" s="11">
        <v>125.98</v>
      </c>
    </row>
  </sheetData>
  <mergeCells count="2">
    <mergeCell ref="A3:D3"/>
    <mergeCell ref="A4:D4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C29"/>
  <sheetViews>
    <sheetView workbookViewId="0">
      <selection activeCell="A2" sqref="A2:C2"/>
    </sheetView>
  </sheetViews>
  <sheetFormatPr defaultRowHeight="14.4" x14ac:dyDescent="0.3"/>
  <cols>
    <col min="1" max="1" width="11.88671875" bestFit="1" customWidth="1"/>
    <col min="2" max="2" width="11.109375" customWidth="1"/>
    <col min="3" max="3" width="18.5546875" customWidth="1"/>
  </cols>
  <sheetData>
    <row r="1" spans="1:3" ht="15.6" x14ac:dyDescent="0.3">
      <c r="A1" s="39" t="s">
        <v>74</v>
      </c>
      <c r="B1" s="39"/>
      <c r="C1" s="39"/>
    </row>
    <row r="2" spans="1:3" ht="15.6" x14ac:dyDescent="0.3">
      <c r="A2" s="39" t="s">
        <v>120</v>
      </c>
      <c r="B2" s="39"/>
      <c r="C2" s="39"/>
    </row>
    <row r="3" spans="1:3" x14ac:dyDescent="0.3">
      <c r="A3" s="29" t="s">
        <v>107</v>
      </c>
      <c r="B3" s="29" t="s">
        <v>108</v>
      </c>
      <c r="C3" s="29" t="s">
        <v>110</v>
      </c>
    </row>
    <row r="4" spans="1:3" x14ac:dyDescent="0.3">
      <c r="A4" s="16" t="s">
        <v>15</v>
      </c>
      <c r="B4" s="21"/>
      <c r="C4" s="21"/>
    </row>
    <row r="5" spans="1:3" x14ac:dyDescent="0.3">
      <c r="A5" s="19" t="s">
        <v>16</v>
      </c>
      <c r="B5" s="21">
        <v>3</v>
      </c>
      <c r="C5" s="21">
        <v>392</v>
      </c>
    </row>
    <row r="6" spans="1:3" x14ac:dyDescent="0.3">
      <c r="A6" s="16" t="s">
        <v>18</v>
      </c>
      <c r="B6" s="21"/>
      <c r="C6" s="21"/>
    </row>
    <row r="7" spans="1:3" x14ac:dyDescent="0.3">
      <c r="A7" s="19" t="s">
        <v>19</v>
      </c>
      <c r="B7" s="21">
        <v>2</v>
      </c>
      <c r="C7" s="21">
        <v>351</v>
      </c>
    </row>
    <row r="8" spans="1:3" x14ac:dyDescent="0.3">
      <c r="A8" s="16" t="s">
        <v>23</v>
      </c>
      <c r="B8" s="21"/>
      <c r="C8" s="21"/>
    </row>
    <row r="9" spans="1:3" x14ac:dyDescent="0.3">
      <c r="A9" s="19" t="s">
        <v>24</v>
      </c>
      <c r="B9" s="21">
        <v>5</v>
      </c>
      <c r="C9" s="21">
        <v>422</v>
      </c>
    </row>
    <row r="10" spans="1:3" x14ac:dyDescent="0.3">
      <c r="A10" s="16" t="s">
        <v>25</v>
      </c>
      <c r="B10" s="21"/>
      <c r="C10" s="21"/>
    </row>
    <row r="11" spans="1:3" x14ac:dyDescent="0.3">
      <c r="A11" s="19" t="s">
        <v>26</v>
      </c>
      <c r="B11" s="21">
        <v>2</v>
      </c>
      <c r="C11" s="21">
        <v>81</v>
      </c>
    </row>
    <row r="12" spans="1:3" x14ac:dyDescent="0.3">
      <c r="A12" s="16" t="s">
        <v>32</v>
      </c>
      <c r="B12" s="21"/>
      <c r="C12" s="21"/>
    </row>
    <row r="13" spans="1:3" x14ac:dyDescent="0.3">
      <c r="A13" s="19" t="s">
        <v>33</v>
      </c>
      <c r="B13" s="21">
        <v>5</v>
      </c>
      <c r="C13" s="21">
        <v>489</v>
      </c>
    </row>
    <row r="14" spans="1:3" x14ac:dyDescent="0.3">
      <c r="A14" s="16" t="s">
        <v>36</v>
      </c>
      <c r="B14" s="21"/>
      <c r="C14" s="21"/>
    </row>
    <row r="15" spans="1:3" x14ac:dyDescent="0.3">
      <c r="A15" s="19" t="s">
        <v>37</v>
      </c>
      <c r="B15" s="21">
        <v>4</v>
      </c>
      <c r="C15" s="21">
        <v>300</v>
      </c>
    </row>
    <row r="16" spans="1:3" x14ac:dyDescent="0.3">
      <c r="A16" s="16" t="s">
        <v>38</v>
      </c>
      <c r="B16" s="21"/>
      <c r="C16" s="21"/>
    </row>
    <row r="17" spans="1:3" x14ac:dyDescent="0.3">
      <c r="A17" s="19" t="s">
        <v>39</v>
      </c>
      <c r="B17" s="21">
        <v>2</v>
      </c>
      <c r="C17" s="21">
        <v>318</v>
      </c>
    </row>
    <row r="18" spans="1:3" x14ac:dyDescent="0.3">
      <c r="A18" s="16" t="s">
        <v>42</v>
      </c>
      <c r="B18" s="21"/>
      <c r="C18" s="21"/>
    </row>
    <row r="19" spans="1:3" x14ac:dyDescent="0.3">
      <c r="A19" s="19" t="s">
        <v>43</v>
      </c>
      <c r="B19" s="21">
        <v>1</v>
      </c>
      <c r="C19" s="21">
        <v>508</v>
      </c>
    </row>
    <row r="20" spans="1:3" x14ac:dyDescent="0.3">
      <c r="A20" s="16" t="s">
        <v>46</v>
      </c>
      <c r="B20" s="21"/>
      <c r="C20" s="21"/>
    </row>
    <row r="21" spans="1:3" x14ac:dyDescent="0.3">
      <c r="A21" s="19" t="s">
        <v>47</v>
      </c>
      <c r="B21" s="21">
        <v>1</v>
      </c>
      <c r="C21" s="21">
        <v>26</v>
      </c>
    </row>
    <row r="22" spans="1:3" x14ac:dyDescent="0.3">
      <c r="A22" s="16" t="s">
        <v>48</v>
      </c>
      <c r="B22" s="21"/>
      <c r="C22" s="21"/>
    </row>
    <row r="23" spans="1:3" x14ac:dyDescent="0.3">
      <c r="A23" s="19" t="s">
        <v>49</v>
      </c>
      <c r="B23" s="21">
        <v>3</v>
      </c>
      <c r="C23" s="21">
        <v>935</v>
      </c>
    </row>
    <row r="24" spans="1:3" x14ac:dyDescent="0.3">
      <c r="A24" s="16" t="s">
        <v>50</v>
      </c>
      <c r="B24" s="21"/>
      <c r="C24" s="21"/>
    </row>
    <row r="25" spans="1:3" x14ac:dyDescent="0.3">
      <c r="A25" s="19" t="s">
        <v>51</v>
      </c>
      <c r="B25" s="21">
        <v>2</v>
      </c>
      <c r="C25" s="21">
        <v>1248</v>
      </c>
    </row>
    <row r="26" spans="1:3" x14ac:dyDescent="0.3">
      <c r="A26" s="16" t="s">
        <v>52</v>
      </c>
      <c r="B26" s="21"/>
      <c r="C26" s="21"/>
    </row>
    <row r="27" spans="1:3" x14ac:dyDescent="0.3">
      <c r="A27" s="19" t="s">
        <v>53</v>
      </c>
      <c r="B27" s="21">
        <v>3</v>
      </c>
      <c r="C27" s="21">
        <v>554</v>
      </c>
    </row>
    <row r="28" spans="1:3" x14ac:dyDescent="0.3">
      <c r="A28" s="16" t="s">
        <v>56</v>
      </c>
      <c r="B28" s="21"/>
      <c r="C28" s="21"/>
    </row>
    <row r="29" spans="1:3" x14ac:dyDescent="0.3">
      <c r="A29" s="19" t="s">
        <v>57</v>
      </c>
      <c r="B29" s="21">
        <v>5</v>
      </c>
      <c r="C29" s="21">
        <v>39</v>
      </c>
    </row>
  </sheetData>
  <mergeCells count="2">
    <mergeCell ref="A1:C1"/>
    <mergeCell ref="A2:C2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H10"/>
  <sheetViews>
    <sheetView workbookViewId="0">
      <selection activeCell="A4" sqref="A4"/>
    </sheetView>
  </sheetViews>
  <sheetFormatPr defaultRowHeight="14.4" x14ac:dyDescent="0.3"/>
  <cols>
    <col min="1" max="1" width="11.5546875" customWidth="1"/>
    <col min="2" max="3" width="13.88671875" bestFit="1" customWidth="1"/>
    <col min="4" max="4" width="11.33203125" bestFit="1" customWidth="1"/>
    <col min="5" max="5" width="12.77734375" bestFit="1" customWidth="1"/>
    <col min="6" max="6" width="12.21875" customWidth="1"/>
    <col min="7" max="7" width="14.109375" bestFit="1" customWidth="1"/>
    <col min="8" max="8" width="13.88671875" customWidth="1"/>
  </cols>
  <sheetData>
    <row r="1" spans="1:8" ht="18" x14ac:dyDescent="0.35">
      <c r="A1" s="40" t="s">
        <v>74</v>
      </c>
      <c r="B1" s="40"/>
      <c r="C1" s="40"/>
      <c r="D1" s="40"/>
      <c r="E1" s="40"/>
      <c r="F1" s="40"/>
      <c r="G1" s="40"/>
      <c r="H1" s="40"/>
    </row>
    <row r="2" spans="1:8" ht="15.6" x14ac:dyDescent="0.3">
      <c r="A2" s="39" t="s">
        <v>121</v>
      </c>
      <c r="B2" s="39"/>
      <c r="C2" s="39"/>
      <c r="D2" s="39"/>
      <c r="E2" s="39"/>
      <c r="F2" s="39"/>
      <c r="G2" s="39"/>
      <c r="H2" s="39"/>
    </row>
    <row r="3" spans="1:8" x14ac:dyDescent="0.3">
      <c r="A3" s="15" t="s">
        <v>2</v>
      </c>
      <c r="B3" s="16">
        <v>2</v>
      </c>
    </row>
    <row r="5" spans="1:8" x14ac:dyDescent="0.3">
      <c r="A5" s="29" t="s">
        <v>125</v>
      </c>
      <c r="B5" s="29" t="s">
        <v>127</v>
      </c>
      <c r="C5" s="29" t="s">
        <v>90</v>
      </c>
      <c r="D5" s="29" t="s">
        <v>91</v>
      </c>
      <c r="E5" s="29" t="s">
        <v>111</v>
      </c>
      <c r="F5" s="29" t="s">
        <v>128</v>
      </c>
      <c r="G5" s="29" t="s">
        <v>112</v>
      </c>
      <c r="H5" s="29" t="s">
        <v>78</v>
      </c>
    </row>
    <row r="6" spans="1:8" x14ac:dyDescent="0.3">
      <c r="A6" s="16" t="s">
        <v>18</v>
      </c>
      <c r="B6" s="11">
        <v>47.89</v>
      </c>
      <c r="C6" s="11">
        <v>44.7</v>
      </c>
      <c r="D6" s="11">
        <v>108.928</v>
      </c>
      <c r="E6" s="11">
        <v>0</v>
      </c>
      <c r="F6" s="11">
        <v>450.88</v>
      </c>
      <c r="G6" s="11">
        <v>0</v>
      </c>
      <c r="H6" s="11">
        <v>652.39800000000002</v>
      </c>
    </row>
    <row r="7" spans="1:8" x14ac:dyDescent="0.3">
      <c r="A7" s="16" t="s">
        <v>25</v>
      </c>
      <c r="B7" s="11">
        <v>158.36000000000001</v>
      </c>
      <c r="C7" s="11">
        <v>46.99</v>
      </c>
      <c r="D7" s="11">
        <v>80.768000000000001</v>
      </c>
      <c r="E7" s="11">
        <v>450.98</v>
      </c>
      <c r="F7" s="11">
        <v>1520.32</v>
      </c>
      <c r="G7" s="11">
        <v>259.89</v>
      </c>
      <c r="H7" s="11">
        <v>2517.308</v>
      </c>
    </row>
    <row r="8" spans="1:8" x14ac:dyDescent="0.3">
      <c r="A8" s="16" t="s">
        <v>38</v>
      </c>
      <c r="B8" s="11">
        <v>157.4</v>
      </c>
      <c r="C8" s="11">
        <v>14.07</v>
      </c>
      <c r="D8" s="11">
        <v>117.504</v>
      </c>
      <c r="E8" s="11">
        <v>0</v>
      </c>
      <c r="F8" s="11">
        <v>0</v>
      </c>
      <c r="G8" s="11">
        <v>0</v>
      </c>
      <c r="H8" s="11">
        <v>288.97399999999999</v>
      </c>
    </row>
    <row r="9" spans="1:8" x14ac:dyDescent="0.3">
      <c r="A9" s="16" t="s">
        <v>50</v>
      </c>
      <c r="B9" s="11">
        <v>64.75</v>
      </c>
      <c r="C9" s="11">
        <v>159.88999999999999</v>
      </c>
      <c r="D9" s="11">
        <v>249.34400000000002</v>
      </c>
      <c r="E9" s="11">
        <v>250.74</v>
      </c>
      <c r="F9" s="11">
        <v>0</v>
      </c>
      <c r="G9" s="11">
        <v>801.99</v>
      </c>
      <c r="H9" s="11">
        <v>1526.7139999999999</v>
      </c>
    </row>
    <row r="10" spans="1:8" x14ac:dyDescent="0.3">
      <c r="A10" s="16" t="s">
        <v>76</v>
      </c>
      <c r="B10" s="11">
        <v>428.4</v>
      </c>
      <c r="C10" s="11">
        <v>265.64999999999998</v>
      </c>
      <c r="D10" s="11">
        <v>556.54399999999998</v>
      </c>
      <c r="E10" s="11">
        <v>701.72</v>
      </c>
      <c r="F10" s="11">
        <v>1971.1999999999998</v>
      </c>
      <c r="G10" s="11">
        <v>1061.8800000000001</v>
      </c>
      <c r="H10" s="11">
        <v>4985.3940000000002</v>
      </c>
    </row>
  </sheetData>
  <mergeCells count="2">
    <mergeCell ref="A2:H2"/>
    <mergeCell ref="A1:H1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1:E9"/>
  <sheetViews>
    <sheetView workbookViewId="0">
      <selection activeCell="A3" sqref="A3"/>
    </sheetView>
  </sheetViews>
  <sheetFormatPr defaultRowHeight="14.4" x14ac:dyDescent="0.3"/>
  <cols>
    <col min="1" max="1" width="10.77734375" customWidth="1"/>
    <col min="2" max="2" width="11.33203125" bestFit="1" customWidth="1"/>
    <col min="3" max="3" width="12.77734375" bestFit="1" customWidth="1"/>
    <col min="4" max="4" width="14.109375" bestFit="1" customWidth="1"/>
    <col min="5" max="5" width="13.44140625" bestFit="1" customWidth="1"/>
  </cols>
  <sheetData>
    <row r="1" spans="1:5" ht="18" x14ac:dyDescent="0.35">
      <c r="A1" s="41" t="s">
        <v>74</v>
      </c>
      <c r="B1" s="41"/>
      <c r="C1" s="41"/>
      <c r="D1" s="41"/>
      <c r="E1" s="41"/>
    </row>
    <row r="2" spans="1:5" ht="15.6" x14ac:dyDescent="0.3">
      <c r="A2" s="39" t="s">
        <v>121</v>
      </c>
      <c r="B2" s="39"/>
      <c r="C2" s="39"/>
      <c r="D2" s="39"/>
      <c r="E2" s="39"/>
    </row>
    <row r="3" spans="1:5" x14ac:dyDescent="0.3">
      <c r="A3" s="26" t="s">
        <v>2</v>
      </c>
      <c r="B3" s="26" t="s">
        <v>91</v>
      </c>
      <c r="C3" s="26" t="s">
        <v>111</v>
      </c>
      <c r="D3" s="26" t="s">
        <v>112</v>
      </c>
      <c r="E3" s="26" t="s">
        <v>89</v>
      </c>
    </row>
    <row r="4" spans="1:5" x14ac:dyDescent="0.3">
      <c r="A4" s="2">
        <v>1</v>
      </c>
      <c r="B4" s="11">
        <v>346.49600000000009</v>
      </c>
      <c r="C4" s="11">
        <v>528.04999999999995</v>
      </c>
      <c r="D4" s="11">
        <v>1657.8200000000002</v>
      </c>
      <c r="E4" s="11">
        <v>416.20000000000005</v>
      </c>
    </row>
    <row r="5" spans="1:5" x14ac:dyDescent="0.3">
      <c r="A5" s="2">
        <v>2</v>
      </c>
      <c r="B5" s="11">
        <v>556.54399999999998</v>
      </c>
      <c r="C5" s="11">
        <v>701.72</v>
      </c>
      <c r="D5" s="11">
        <v>1061.8800000000001</v>
      </c>
      <c r="E5" s="11">
        <v>428.4</v>
      </c>
    </row>
    <row r="6" spans="1:5" x14ac:dyDescent="0.3">
      <c r="A6" s="2">
        <v>3</v>
      </c>
      <c r="B6" s="11">
        <v>490.75200000000007</v>
      </c>
      <c r="C6" s="11">
        <v>250.98</v>
      </c>
      <c r="D6" s="11">
        <v>1032.54</v>
      </c>
      <c r="E6" s="11">
        <v>606.53</v>
      </c>
    </row>
    <row r="7" spans="1:5" x14ac:dyDescent="0.3">
      <c r="A7" s="2">
        <v>4</v>
      </c>
      <c r="B7" s="11">
        <v>279.16800000000001</v>
      </c>
      <c r="C7" s="11">
        <v>99.99</v>
      </c>
      <c r="D7" s="11">
        <v>1850.26</v>
      </c>
      <c r="E7" s="11">
        <v>1106.07</v>
      </c>
    </row>
    <row r="8" spans="1:5" x14ac:dyDescent="0.3">
      <c r="A8" s="2">
        <v>5</v>
      </c>
      <c r="B8" s="11">
        <v>452.22399999999999</v>
      </c>
      <c r="C8" s="11">
        <v>1153.2</v>
      </c>
      <c r="D8" s="11">
        <v>2035.24</v>
      </c>
      <c r="E8" s="11">
        <v>812.95999999999992</v>
      </c>
    </row>
    <row r="9" spans="1:5" x14ac:dyDescent="0.3">
      <c r="A9" s="16" t="s">
        <v>76</v>
      </c>
      <c r="B9" s="11">
        <v>2125.1840000000002</v>
      </c>
      <c r="C9" s="11">
        <v>2733.94</v>
      </c>
      <c r="D9" s="11">
        <v>7637.74</v>
      </c>
      <c r="E9" s="11">
        <v>3370.16</v>
      </c>
    </row>
  </sheetData>
  <mergeCells count="2">
    <mergeCell ref="A1:E1"/>
    <mergeCell ref="A2:E2"/>
  </mergeCells>
  <pageMargins left="0.7" right="0.7" top="0.75" bottom="0.75" header="0.3" footer="0.3"/>
  <pageSetup orientation="portrait" r:id="rId2"/>
  <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A1:C31"/>
  <sheetViews>
    <sheetView workbookViewId="0">
      <selection activeCell="A2" sqref="A2:C2"/>
    </sheetView>
  </sheetViews>
  <sheetFormatPr defaultRowHeight="14.4" x14ac:dyDescent="0.3"/>
  <cols>
    <col min="1" max="1" width="13.44140625" bestFit="1" customWidth="1"/>
    <col min="2" max="2" width="12" bestFit="1" customWidth="1"/>
    <col min="3" max="3" width="18.33203125" customWidth="1"/>
  </cols>
  <sheetData>
    <row r="1" spans="1:3" ht="15.6" customHeight="1" x14ac:dyDescent="0.3">
      <c r="A1" s="33" t="s">
        <v>74</v>
      </c>
      <c r="B1" s="33"/>
      <c r="C1" s="33"/>
    </row>
    <row r="2" spans="1:3" ht="15.6" customHeight="1" x14ac:dyDescent="0.3">
      <c r="A2" s="33" t="s">
        <v>123</v>
      </c>
      <c r="B2" s="33"/>
      <c r="C2" s="33"/>
    </row>
    <row r="3" spans="1:3" x14ac:dyDescent="0.3">
      <c r="A3" s="29" t="s">
        <v>2</v>
      </c>
      <c r="B3" s="29" t="s">
        <v>0</v>
      </c>
      <c r="C3" s="29" t="s">
        <v>122</v>
      </c>
    </row>
    <row r="4" spans="1:3" x14ac:dyDescent="0.3">
      <c r="A4" s="2">
        <v>1</v>
      </c>
      <c r="B4" t="s">
        <v>21</v>
      </c>
      <c r="C4" s="30">
        <v>591</v>
      </c>
    </row>
    <row r="5" spans="1:3" x14ac:dyDescent="0.3">
      <c r="B5" t="s">
        <v>42</v>
      </c>
      <c r="C5" s="30">
        <v>1108</v>
      </c>
    </row>
    <row r="6" spans="1:3" x14ac:dyDescent="0.3">
      <c r="B6" t="s">
        <v>46</v>
      </c>
      <c r="C6" s="30">
        <v>526</v>
      </c>
    </row>
    <row r="7" spans="1:3" x14ac:dyDescent="0.3">
      <c r="B7" t="s">
        <v>60</v>
      </c>
      <c r="C7" s="30">
        <v>482</v>
      </c>
    </row>
    <row r="8" spans="1:3" x14ac:dyDescent="0.3">
      <c r="A8" t="s">
        <v>92</v>
      </c>
      <c r="C8" s="30">
        <v>2707</v>
      </c>
    </row>
    <row r="9" spans="1:3" x14ac:dyDescent="0.3">
      <c r="A9" s="2">
        <v>2</v>
      </c>
      <c r="B9" t="s">
        <v>18</v>
      </c>
      <c r="C9" s="30">
        <v>851</v>
      </c>
    </row>
    <row r="10" spans="1:3" x14ac:dyDescent="0.3">
      <c r="B10" t="s">
        <v>25</v>
      </c>
      <c r="C10" s="30">
        <v>631</v>
      </c>
    </row>
    <row r="11" spans="1:3" x14ac:dyDescent="0.3">
      <c r="B11" t="s">
        <v>38</v>
      </c>
      <c r="C11" s="30">
        <v>918</v>
      </c>
    </row>
    <row r="12" spans="1:3" x14ac:dyDescent="0.3">
      <c r="B12" t="s">
        <v>50</v>
      </c>
      <c r="C12" s="30">
        <v>1948</v>
      </c>
    </row>
    <row r="13" spans="1:3" x14ac:dyDescent="0.3">
      <c r="A13" t="s">
        <v>93</v>
      </c>
      <c r="C13" s="30">
        <v>4348</v>
      </c>
    </row>
    <row r="14" spans="1:3" x14ac:dyDescent="0.3">
      <c r="A14" s="2">
        <v>3</v>
      </c>
      <c r="B14" t="s">
        <v>15</v>
      </c>
      <c r="C14" s="30">
        <v>992</v>
      </c>
    </row>
    <row r="15" spans="1:3" x14ac:dyDescent="0.3">
      <c r="B15" t="s">
        <v>34</v>
      </c>
      <c r="C15" s="30">
        <v>0</v>
      </c>
    </row>
    <row r="16" spans="1:3" x14ac:dyDescent="0.3">
      <c r="B16" t="s">
        <v>48</v>
      </c>
      <c r="C16" s="30">
        <v>1485</v>
      </c>
    </row>
    <row r="17" spans="1:3" x14ac:dyDescent="0.3">
      <c r="B17" t="s">
        <v>52</v>
      </c>
      <c r="C17" s="30">
        <v>1054</v>
      </c>
    </row>
    <row r="18" spans="1:3" x14ac:dyDescent="0.3">
      <c r="B18" t="s">
        <v>58</v>
      </c>
      <c r="C18" s="30">
        <v>303</v>
      </c>
    </row>
    <row r="19" spans="1:3" x14ac:dyDescent="0.3">
      <c r="A19" t="s">
        <v>94</v>
      </c>
      <c r="C19" s="30">
        <v>3834</v>
      </c>
    </row>
    <row r="20" spans="1:3" x14ac:dyDescent="0.3">
      <c r="A20" s="2">
        <v>4</v>
      </c>
      <c r="B20" t="s">
        <v>30</v>
      </c>
      <c r="C20" s="30">
        <v>372</v>
      </c>
    </row>
    <row r="21" spans="1:3" x14ac:dyDescent="0.3">
      <c r="B21" t="s">
        <v>36</v>
      </c>
      <c r="C21" s="30">
        <v>1000</v>
      </c>
    </row>
    <row r="22" spans="1:3" x14ac:dyDescent="0.3">
      <c r="B22" t="s">
        <v>40</v>
      </c>
      <c r="C22" s="30">
        <v>589</v>
      </c>
    </row>
    <row r="23" spans="1:3" x14ac:dyDescent="0.3">
      <c r="B23" t="s">
        <v>44</v>
      </c>
      <c r="C23" s="30">
        <v>220</v>
      </c>
    </row>
    <row r="24" spans="1:3" x14ac:dyDescent="0.3">
      <c r="A24" t="s">
        <v>95</v>
      </c>
      <c r="C24" s="30">
        <v>2181</v>
      </c>
    </row>
    <row r="25" spans="1:3" x14ac:dyDescent="0.3">
      <c r="A25" s="2">
        <v>5</v>
      </c>
      <c r="B25" t="s">
        <v>12</v>
      </c>
      <c r="C25" s="30">
        <v>493</v>
      </c>
    </row>
    <row r="26" spans="1:3" x14ac:dyDescent="0.3">
      <c r="B26" t="s">
        <v>23</v>
      </c>
      <c r="C26" s="30">
        <v>922</v>
      </c>
    </row>
    <row r="27" spans="1:3" x14ac:dyDescent="0.3">
      <c r="B27" t="s">
        <v>28</v>
      </c>
      <c r="C27" s="30">
        <v>440</v>
      </c>
    </row>
    <row r="28" spans="1:3" x14ac:dyDescent="0.3">
      <c r="B28" t="s">
        <v>32</v>
      </c>
      <c r="C28" s="30">
        <v>1089</v>
      </c>
    </row>
    <row r="29" spans="1:3" x14ac:dyDescent="0.3">
      <c r="B29" t="s">
        <v>54</v>
      </c>
      <c r="C29" s="30">
        <v>0</v>
      </c>
    </row>
    <row r="30" spans="1:3" x14ac:dyDescent="0.3">
      <c r="B30" t="s">
        <v>56</v>
      </c>
      <c r="C30" s="30">
        <v>589</v>
      </c>
    </row>
    <row r="31" spans="1:3" x14ac:dyDescent="0.3">
      <c r="A31" t="s">
        <v>96</v>
      </c>
      <c r="C31" s="21">
        <v>3533</v>
      </c>
    </row>
  </sheetData>
  <mergeCells count="2">
    <mergeCell ref="A2:C2"/>
    <mergeCell ref="A1:C1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A1:B10"/>
  <sheetViews>
    <sheetView topLeftCell="E12" workbookViewId="0">
      <selection activeCell="A3" sqref="A3"/>
    </sheetView>
  </sheetViews>
  <sheetFormatPr defaultRowHeight="14.4" x14ac:dyDescent="0.3"/>
  <cols>
    <col min="1" max="1" width="20.5546875" customWidth="1"/>
    <col min="2" max="2" width="20.88671875" customWidth="1"/>
  </cols>
  <sheetData>
    <row r="1" spans="1:2" ht="15.6" x14ac:dyDescent="0.3">
      <c r="A1" s="33" t="s">
        <v>74</v>
      </c>
      <c r="B1" s="33"/>
    </row>
    <row r="2" spans="1:2" x14ac:dyDescent="0.3">
      <c r="A2" s="42" t="s">
        <v>126</v>
      </c>
      <c r="B2" s="42"/>
    </row>
    <row r="3" spans="1:2" x14ac:dyDescent="0.3">
      <c r="A3" s="26" t="s">
        <v>2</v>
      </c>
      <c r="B3" s="22">
        <v>1</v>
      </c>
    </row>
    <row r="5" spans="1:2" x14ac:dyDescent="0.3">
      <c r="A5" s="26" t="s">
        <v>125</v>
      </c>
      <c r="B5" s="26" t="s">
        <v>124</v>
      </c>
    </row>
    <row r="6" spans="1:2" x14ac:dyDescent="0.3">
      <c r="A6" s="16" t="s">
        <v>21</v>
      </c>
      <c r="B6" s="21">
        <v>591</v>
      </c>
    </row>
    <row r="7" spans="1:2" x14ac:dyDescent="0.3">
      <c r="A7" s="16" t="s">
        <v>42</v>
      </c>
      <c r="B7" s="21">
        <v>1108</v>
      </c>
    </row>
    <row r="8" spans="1:2" x14ac:dyDescent="0.3">
      <c r="A8" s="16" t="s">
        <v>46</v>
      </c>
      <c r="B8" s="21">
        <v>526</v>
      </c>
    </row>
    <row r="9" spans="1:2" x14ac:dyDescent="0.3">
      <c r="A9" s="16" t="s">
        <v>60</v>
      </c>
      <c r="B9" s="21">
        <v>482</v>
      </c>
    </row>
    <row r="10" spans="1:2" x14ac:dyDescent="0.3">
      <c r="A10" s="16" t="s">
        <v>76</v>
      </c>
      <c r="B10" s="21">
        <v>2707</v>
      </c>
    </row>
  </sheetData>
  <mergeCells count="2">
    <mergeCell ref="A1:B1"/>
    <mergeCell ref="A2:B2"/>
  </mergeCells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</vt:i4>
      </vt:variant>
    </vt:vector>
  </HeadingPairs>
  <TitlesOfParts>
    <vt:vector size="18" baseType="lpstr">
      <vt:lpstr>Lookup Table</vt:lpstr>
      <vt:lpstr>Expense</vt:lpstr>
      <vt:lpstr>Expenses by Division</vt:lpstr>
      <vt:lpstr>Total Expenses Sales Position</vt:lpstr>
      <vt:lpstr>Meal Phone Gas Expense</vt:lpstr>
      <vt:lpstr>Managers 1700 Supervisor 750</vt:lpstr>
      <vt:lpstr>No Expense Claim Form</vt:lpstr>
      <vt:lpstr>Position and Hotel Airfare</vt:lpstr>
      <vt:lpstr>Manager Travel Airplane</vt:lpstr>
      <vt:lpstr>Sales Positions by Division</vt:lpstr>
      <vt:lpstr>Divison Expense</vt:lpstr>
      <vt:lpstr>S1 Reps with Hotel Airfare</vt:lpstr>
      <vt:lpstr>Over Mileage Limit</vt:lpstr>
      <vt:lpstr>Employee Expense by Division</vt:lpstr>
      <vt:lpstr>Employee Expense by Divison</vt:lpstr>
      <vt:lpstr>Employee Mileage by Division</vt:lpstr>
      <vt:lpstr>Employee Mileage Division 1</vt:lpstr>
      <vt:lpstr>Expense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</dc:creator>
  <cp:lastModifiedBy>patrick ha</cp:lastModifiedBy>
  <cp:lastPrinted>2015-08-18T16:38:37Z</cp:lastPrinted>
  <dcterms:created xsi:type="dcterms:W3CDTF">2008-04-28T17:43:39Z</dcterms:created>
  <dcterms:modified xsi:type="dcterms:W3CDTF">2019-10-22T23:31:49Z</dcterms:modified>
</cp:coreProperties>
</file>